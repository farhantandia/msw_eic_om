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w\msw_eic_om\Unit 1\"/>
    </mc:Choice>
  </mc:AlternateContent>
  <xr:revisionPtr revIDLastSave="0" documentId="13_ncr:1_{716BE05A-D5E4-44B3-8964-3BF5BE806A76}" xr6:coauthVersionLast="47" xr6:coauthVersionMax="47" xr10:uidLastSave="{00000000-0000-0000-0000-000000000000}"/>
  <bookViews>
    <workbookView xWindow="-103" yWindow="-103" windowWidth="24892" windowHeight="13372" xr2:uid="{37624934-2195-48BC-B3C0-1895DB4F04B1}"/>
  </bookViews>
  <sheets>
    <sheet name="UPDATE U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2" i="4" l="1" a="1"/>
  <c r="J182" i="4" s="1"/>
  <c r="J183" i="4" a="1"/>
  <c r="J183" i="4" s="1"/>
  <c r="J184" i="4" a="1"/>
  <c r="J184" i="4" s="1"/>
  <c r="J185" i="4" a="1"/>
  <c r="J185" i="4" s="1"/>
  <c r="K136" i="4" l="1"/>
  <c r="J42" i="4" a="1"/>
  <c r="J42" i="4" s="1"/>
  <c r="K42" i="4"/>
  <c r="J32" i="4" a="1"/>
  <c r="J32" i="4" s="1"/>
  <c r="J99" i="4" a="1"/>
  <c r="J99" i="4" s="1"/>
  <c r="J12" i="4" a="1"/>
  <c r="J12" i="4" s="1"/>
  <c r="K12" i="4"/>
  <c r="H12" i="4" s="1"/>
  <c r="J61" i="4" a="1"/>
  <c r="J61" i="4" s="1"/>
  <c r="J60" i="4" a="1"/>
  <c r="J60" i="4" s="1"/>
  <c r="J59" i="4" a="1"/>
  <c r="J59" i="4" s="1"/>
  <c r="J58" i="4" a="1"/>
  <c r="J58" i="4" s="1"/>
  <c r="J57" i="4" a="1"/>
  <c r="J57" i="4" s="1"/>
  <c r="J56" i="4" a="1"/>
  <c r="J56" i="4" s="1"/>
  <c r="J55" i="4" a="1"/>
  <c r="J55" i="4" s="1"/>
  <c r="J54" i="4" a="1"/>
  <c r="J54" i="4" s="1"/>
  <c r="J53" i="4" a="1"/>
  <c r="J53" i="4" s="1"/>
  <c r="K52" i="4"/>
  <c r="H52" i="4" s="1"/>
  <c r="J52" i="4" a="1"/>
  <c r="J52" i="4" s="1"/>
  <c r="J294" i="4" a="1"/>
  <c r="J294" i="4" s="1"/>
  <c r="K294" i="4" s="1"/>
  <c r="J272" i="4" a="1"/>
  <c r="J272" i="4" s="1"/>
  <c r="K272" i="4" s="1"/>
  <c r="J302" i="4" a="1"/>
  <c r="J302" i="4" s="1"/>
  <c r="J301" i="4" a="1"/>
  <c r="J301" i="4" s="1"/>
  <c r="J300" i="4" a="1"/>
  <c r="J300" i="4" s="1"/>
  <c r="J299" i="4" a="1"/>
  <c r="J299" i="4" s="1"/>
  <c r="J298" i="4" a="1"/>
  <c r="J298" i="4" s="1"/>
  <c r="J297" i="4" a="1"/>
  <c r="J297" i="4" s="1"/>
  <c r="J296" i="4" a="1"/>
  <c r="J296" i="4" s="1"/>
  <c r="J295" i="4" a="1"/>
  <c r="J295" i="4" s="1"/>
  <c r="J280" i="4" a="1"/>
  <c r="J280" i="4" s="1"/>
  <c r="J279" i="4" a="1"/>
  <c r="J279" i="4" s="1"/>
  <c r="J278" i="4" a="1"/>
  <c r="J278" i="4" s="1"/>
  <c r="J277" i="4" a="1"/>
  <c r="J277" i="4" s="1"/>
  <c r="J276" i="4" a="1"/>
  <c r="J276" i="4" s="1"/>
  <c r="J275" i="4" a="1"/>
  <c r="J275" i="4" s="1"/>
  <c r="J274" i="4" a="1"/>
  <c r="J274" i="4" s="1"/>
  <c r="J273" i="4" a="1"/>
  <c r="J273" i="4" s="1"/>
  <c r="J575" i="4" a="1"/>
  <c r="J575" i="4" s="1"/>
  <c r="K575" i="4" s="1"/>
  <c r="J13" i="4" a="1"/>
  <c r="J13" i="4" s="1"/>
  <c r="K790" i="4"/>
  <c r="K118" i="4"/>
  <c r="H118" i="4" s="1"/>
  <c r="K129" i="4"/>
  <c r="H129" i="4" s="1"/>
  <c r="H136" i="4" l="1"/>
  <c r="H294" i="4"/>
  <c r="J119" i="4" a="1"/>
  <c r="J120" i="4" a="1"/>
  <c r="J121" i="4" a="1"/>
  <c r="J122" i="4" a="1"/>
  <c r="J123" i="4" a="1"/>
  <c r="J124" i="4" a="1"/>
  <c r="J125" i="4" a="1"/>
  <c r="J126" i="4" a="1"/>
  <c r="J127" i="4" a="1"/>
  <c r="J128" i="4" a="1"/>
  <c r="K111" i="4"/>
  <c r="H111" i="4" s="1"/>
  <c r="K100" i="4"/>
  <c r="H100" i="4" s="1"/>
  <c r="K87" i="4"/>
  <c r="K72" i="4"/>
  <c r="H72" i="4" s="1"/>
  <c r="K62" i="4"/>
  <c r="H42" i="4"/>
  <c r="K32" i="4"/>
  <c r="K22" i="4"/>
  <c r="H790" i="4"/>
  <c r="J14" i="4" a="1"/>
  <c r="J15" i="4" a="1"/>
  <c r="J16" i="4" a="1"/>
  <c r="J17" i="4" a="1"/>
  <c r="J18" i="4" a="1"/>
  <c r="J19" i="4" a="1"/>
  <c r="J20" i="4" a="1"/>
  <c r="J21" i="4" a="1"/>
  <c r="J22" i="4" a="1"/>
  <c r="J23" i="4" a="1"/>
  <c r="J24" i="4" a="1"/>
  <c r="J25" i="4" a="1"/>
  <c r="J26" i="4" a="1"/>
  <c r="J27" i="4" a="1"/>
  <c r="J28" i="4" a="1"/>
  <c r="J29" i="4" a="1"/>
  <c r="J30" i="4" a="1"/>
  <c r="J31" i="4" a="1"/>
  <c r="J33" i="4" a="1"/>
  <c r="J34" i="4" a="1"/>
  <c r="J36" i="4" a="1"/>
  <c r="J37" i="4" a="1"/>
  <c r="J38" i="4" a="1"/>
  <c r="J39" i="4" a="1"/>
  <c r="J41" i="4" a="1"/>
  <c r="J62" i="4" a="1"/>
  <c r="J63" i="4" a="1"/>
  <c r="J64" i="4" a="1"/>
  <c r="J65" i="4" a="1"/>
  <c r="J66" i="4" a="1"/>
  <c r="J67" i="4" a="1"/>
  <c r="J68" i="4" a="1"/>
  <c r="J69" i="4" a="1"/>
  <c r="J70" i="4" a="1"/>
  <c r="J71" i="4" a="1"/>
  <c r="J72" i="4" a="1"/>
  <c r="J73" i="4" a="1"/>
  <c r="J74" i="4" a="1"/>
  <c r="J75" i="4" a="1"/>
  <c r="J76" i="4" a="1"/>
  <c r="J77" i="4" a="1"/>
  <c r="J78" i="4" a="1"/>
  <c r="J79" i="4" a="1"/>
  <c r="J80" i="4" a="1"/>
  <c r="J81" i="4" a="1"/>
  <c r="J82" i="4" a="1"/>
  <c r="J83" i="4" a="1"/>
  <c r="J84" i="4" a="1"/>
  <c r="J85" i="4" a="1"/>
  <c r="J87" i="4" a="1"/>
  <c r="J88" i="4" a="1"/>
  <c r="J89" i="4" a="1"/>
  <c r="J90" i="4" a="1"/>
  <c r="J91" i="4" a="1"/>
  <c r="J92" i="4" a="1"/>
  <c r="J93" i="4" a="1"/>
  <c r="J94" i="4" a="1"/>
  <c r="J95" i="4" a="1"/>
  <c r="J96" i="4" a="1"/>
  <c r="J97" i="4" a="1"/>
  <c r="J100" i="4" a="1"/>
  <c r="J101" i="4" a="1"/>
  <c r="J102" i="4" a="1"/>
  <c r="J103" i="4" a="1"/>
  <c r="J104" i="4" a="1"/>
  <c r="J105" i="4" a="1"/>
  <c r="J106" i="4" a="1"/>
  <c r="J107" i="4" a="1"/>
  <c r="J108" i="4" a="1"/>
  <c r="J109" i="4" a="1"/>
  <c r="J110" i="4" a="1"/>
  <c r="J111" i="4" a="1"/>
  <c r="J112" i="4" a="1"/>
  <c r="J113" i="4" a="1"/>
  <c r="J114" i="4" a="1"/>
  <c r="J115" i="4" a="1"/>
  <c r="J116" i="4" a="1"/>
  <c r="J117" i="4" a="1"/>
  <c r="J118" i="4" a="1"/>
  <c r="J129" i="4" a="1"/>
  <c r="J130" i="4" a="1"/>
  <c r="J131" i="4" a="1"/>
  <c r="J132" i="4" a="1"/>
  <c r="J133" i="4" a="1"/>
  <c r="J134" i="4" a="1"/>
  <c r="J135" i="4" a="1"/>
  <c r="J136" i="4" a="1"/>
  <c r="J137" i="4" a="1"/>
  <c r="J138" i="4" a="1"/>
  <c r="J139" i="4" a="1"/>
  <c r="J140" i="4" a="1"/>
  <c r="J141" i="4" a="1"/>
  <c r="J142" i="4" a="1"/>
  <c r="J143" i="4" a="1"/>
  <c r="J144" i="4" a="1"/>
  <c r="J145" i="4" a="1"/>
  <c r="J146" i="4" a="1"/>
  <c r="J147" i="4" a="1"/>
  <c r="J148" i="4" a="1"/>
  <c r="J149" i="4" a="1"/>
  <c r="J150" i="4" a="1"/>
  <c r="J151" i="4" a="1"/>
  <c r="J152" i="4" a="1"/>
  <c r="J153" i="4" a="1"/>
  <c r="J154" i="4" a="1"/>
  <c r="J155" i="4" a="1"/>
  <c r="J156" i="4" a="1"/>
  <c r="J157" i="4" a="1"/>
  <c r="J158" i="4" a="1"/>
  <c r="J159" i="4" a="1"/>
  <c r="J160" i="4" a="1"/>
  <c r="J161" i="4" a="1"/>
  <c r="J162" i="4" a="1"/>
  <c r="J163" i="4" a="1"/>
  <c r="J164" i="4" a="1"/>
  <c r="J165" i="4" a="1"/>
  <c r="J166" i="4" a="1"/>
  <c r="J167" i="4" a="1"/>
  <c r="J168" i="4" a="1"/>
  <c r="J169" i="4" a="1"/>
  <c r="J170" i="4" a="1"/>
  <c r="J171" i="4" a="1"/>
  <c r="J172" i="4" a="1"/>
  <c r="J173" i="4" a="1"/>
  <c r="J174" i="4" a="1"/>
  <c r="J175" i="4" a="1"/>
  <c r="J176" i="4" a="1"/>
  <c r="J177" i="4" a="1"/>
  <c r="J178" i="4" a="1"/>
  <c r="J179" i="4" a="1"/>
  <c r="J180" i="4" a="1"/>
  <c r="J181" i="4" a="1"/>
  <c r="J186" i="4" a="1"/>
  <c r="J187" i="4" a="1"/>
  <c r="J188" i="4" a="1"/>
  <c r="J189" i="4" a="1"/>
  <c r="J190" i="4" a="1"/>
  <c r="J191" i="4" a="1"/>
  <c r="J192" i="4" a="1"/>
  <c r="J193" i="4" a="1"/>
  <c r="J194" i="4" a="1"/>
  <c r="J195" i="4" a="1"/>
  <c r="J196" i="4" a="1"/>
  <c r="J197" i="4" a="1"/>
  <c r="J198" i="4" a="1"/>
  <c r="J199" i="4" a="1"/>
  <c r="J200" i="4" a="1"/>
  <c r="J201" i="4" a="1"/>
  <c r="J202" i="4" a="1"/>
  <c r="J203" i="4" a="1"/>
  <c r="J204" i="4" a="1"/>
  <c r="J205" i="4" a="1"/>
  <c r="J206" i="4" a="1"/>
  <c r="J207" i="4" a="1"/>
  <c r="J208" i="4" a="1"/>
  <c r="J209" i="4" a="1"/>
  <c r="J210" i="4" a="1"/>
  <c r="J211" i="4" a="1"/>
  <c r="J212" i="4" a="1"/>
  <c r="J213" i="4" a="1"/>
  <c r="J214" i="4" a="1"/>
  <c r="J215" i="4" a="1"/>
  <c r="J216" i="4" a="1"/>
  <c r="J217" i="4" a="1"/>
  <c r="J218" i="4" a="1"/>
  <c r="J219" i="4" a="1"/>
  <c r="J220" i="4" a="1"/>
  <c r="J221" i="4" a="1"/>
  <c r="J222" i="4" a="1"/>
  <c r="J223" i="4" a="1"/>
  <c r="J224" i="4" a="1"/>
  <c r="J225" i="4" a="1"/>
  <c r="J226" i="4" a="1"/>
  <c r="J227" i="4" a="1"/>
  <c r="J228" i="4" a="1"/>
  <c r="J229" i="4" a="1"/>
  <c r="J230" i="4" a="1"/>
  <c r="J231" i="4" a="1"/>
  <c r="J232" i="4" a="1"/>
  <c r="J233" i="4" a="1"/>
  <c r="J234" i="4" a="1"/>
  <c r="J235" i="4" a="1"/>
  <c r="J236" i="4" a="1"/>
  <c r="J237" i="4" a="1"/>
  <c r="J238" i="4" a="1"/>
  <c r="J239" i="4" a="1"/>
  <c r="J240" i="4" a="1"/>
  <c r="J241" i="4" a="1"/>
  <c r="J242" i="4" a="1"/>
  <c r="J243" i="4" a="1"/>
  <c r="J244" i="4" a="1"/>
  <c r="J245" i="4" a="1"/>
  <c r="J246" i="4" a="1"/>
  <c r="J247" i="4" a="1"/>
  <c r="J248" i="4" a="1"/>
  <c r="J249" i="4" a="1"/>
  <c r="J250" i="4" a="1"/>
  <c r="J251" i="4" a="1"/>
  <c r="J252" i="4" a="1"/>
  <c r="J253" i="4" a="1"/>
  <c r="J254" i="4" a="1"/>
  <c r="J255" i="4" a="1"/>
  <c r="J256" i="4" a="1"/>
  <c r="J257" i="4" a="1"/>
  <c r="J258" i="4" a="1"/>
  <c r="J259" i="4" a="1"/>
  <c r="J260" i="4" a="1"/>
  <c r="J261" i="4" a="1"/>
  <c r="J262" i="4" a="1"/>
  <c r="J263" i="4" a="1"/>
  <c r="J264" i="4" a="1"/>
  <c r="J265" i="4" a="1"/>
  <c r="J266" i="4" a="1"/>
  <c r="J267" i="4" a="1"/>
  <c r="J268" i="4" a="1"/>
  <c r="J269" i="4" a="1"/>
  <c r="J270" i="4" a="1"/>
  <c r="J271" i="4" a="1"/>
  <c r="J281" i="4" a="1"/>
  <c r="J282" i="4" a="1"/>
  <c r="J283" i="4" a="1"/>
  <c r="J284" i="4" a="1"/>
  <c r="J285" i="4" a="1"/>
  <c r="J286" i="4" a="1"/>
  <c r="J287" i="4" a="1"/>
  <c r="J288" i="4" a="1"/>
  <c r="J289" i="4" a="1"/>
  <c r="J290" i="4" a="1"/>
  <c r="J291" i="4" a="1"/>
  <c r="J292" i="4" a="1"/>
  <c r="J293" i="4" a="1"/>
  <c r="J303" i="4" a="1"/>
  <c r="J304" i="4" a="1"/>
  <c r="J305" i="4" a="1"/>
  <c r="J306" i="4" a="1"/>
  <c r="J307" i="4" a="1"/>
  <c r="J308" i="4" a="1"/>
  <c r="J309" i="4" a="1"/>
  <c r="J310" i="4" a="1"/>
  <c r="J311" i="4" a="1"/>
  <c r="J312" i="4" a="1"/>
  <c r="J313" i="4" a="1"/>
  <c r="J314" i="4" a="1"/>
  <c r="J315" i="4" a="1"/>
  <c r="J316" i="4" a="1"/>
  <c r="J317" i="4" a="1"/>
  <c r="J318" i="4" a="1"/>
  <c r="J319" i="4" a="1"/>
  <c r="J320" i="4" a="1"/>
  <c r="J321" i="4" a="1"/>
  <c r="J322" i="4" a="1"/>
  <c r="J323" i="4" a="1"/>
  <c r="J324" i="4" a="1"/>
  <c r="J325" i="4" a="1"/>
  <c r="J326" i="4" a="1"/>
  <c r="J327" i="4" a="1"/>
  <c r="J328" i="4" a="1"/>
  <c r="J329" i="4" a="1"/>
  <c r="J330" i="4" a="1"/>
  <c r="J331" i="4" a="1"/>
  <c r="J332" i="4" a="1"/>
  <c r="J333" i="4" a="1"/>
  <c r="J334" i="4" a="1"/>
  <c r="J335" i="4" a="1"/>
  <c r="J336" i="4" a="1"/>
  <c r="J337" i="4" a="1"/>
  <c r="J338" i="4" a="1"/>
  <c r="J339" i="4" a="1"/>
  <c r="J340" i="4" a="1"/>
  <c r="J341" i="4" a="1"/>
  <c r="J342" i="4" a="1"/>
  <c r="J343" i="4" a="1"/>
  <c r="J344" i="4" a="1"/>
  <c r="J345" i="4" a="1"/>
  <c r="J346" i="4" a="1"/>
  <c r="J347" i="4" a="1"/>
  <c r="J348" i="4" a="1"/>
  <c r="J349" i="4" a="1"/>
  <c r="J350" i="4" a="1"/>
  <c r="J351" i="4" a="1"/>
  <c r="J352" i="4" a="1"/>
  <c r="J353" i="4" a="1"/>
  <c r="J354" i="4" a="1"/>
  <c r="J355" i="4" a="1"/>
  <c r="J356" i="4" a="1"/>
  <c r="J357" i="4" a="1"/>
  <c r="J358" i="4" a="1"/>
  <c r="J359" i="4" a="1"/>
  <c r="J360" i="4" a="1"/>
  <c r="J361" i="4" a="1"/>
  <c r="J362" i="4" a="1"/>
  <c r="J363" i="4" a="1"/>
  <c r="J364" i="4" a="1"/>
  <c r="J365" i="4" a="1"/>
  <c r="J366" i="4" a="1"/>
  <c r="J367" i="4" a="1"/>
  <c r="J368" i="4" a="1"/>
  <c r="J369" i="4" a="1"/>
  <c r="J370" i="4" a="1"/>
  <c r="J371" i="4" a="1"/>
  <c r="J372" i="4" a="1"/>
  <c r="J373" i="4" a="1"/>
  <c r="J374" i="4" a="1"/>
  <c r="J375" i="4" a="1"/>
  <c r="J376" i="4" a="1"/>
  <c r="J377" i="4" a="1"/>
  <c r="J378" i="4" a="1"/>
  <c r="J379" i="4" a="1"/>
  <c r="J380" i="4" a="1"/>
  <c r="J381" i="4" a="1"/>
  <c r="J382" i="4" a="1"/>
  <c r="J383" i="4" a="1"/>
  <c r="J384" i="4" a="1"/>
  <c r="J385" i="4" a="1"/>
  <c r="J386" i="4" a="1"/>
  <c r="J387" i="4" a="1"/>
  <c r="J388" i="4" a="1"/>
  <c r="J389" i="4" a="1"/>
  <c r="J390" i="4" a="1"/>
  <c r="J391" i="4" a="1"/>
  <c r="J392" i="4" a="1"/>
  <c r="J393" i="4" a="1"/>
  <c r="J394" i="4" a="1"/>
  <c r="J395" i="4" a="1"/>
  <c r="J396" i="4" a="1"/>
  <c r="J397" i="4" a="1"/>
  <c r="J398" i="4" a="1"/>
  <c r="J399" i="4" a="1"/>
  <c r="J400" i="4" a="1"/>
  <c r="J401" i="4" a="1"/>
  <c r="J402" i="4" a="1"/>
  <c r="J403" i="4" a="1"/>
  <c r="J404" i="4" a="1"/>
  <c r="J405" i="4" a="1"/>
  <c r="J406" i="4" a="1"/>
  <c r="J407" i="4" a="1"/>
  <c r="J408" i="4" a="1"/>
  <c r="J409" i="4" a="1"/>
  <c r="J410" i="4" a="1"/>
  <c r="J411" i="4" a="1"/>
  <c r="J412" i="4" a="1"/>
  <c r="J413" i="4" a="1"/>
  <c r="J414" i="4" a="1"/>
  <c r="J415" i="4" a="1"/>
  <c r="J416" i="4" a="1"/>
  <c r="J417" i="4" a="1"/>
  <c r="J418" i="4" a="1"/>
  <c r="J419" i="4" a="1"/>
  <c r="J420" i="4" a="1"/>
  <c r="J421" i="4" a="1"/>
  <c r="J422" i="4" a="1"/>
  <c r="J423" i="4" a="1"/>
  <c r="J424" i="4" a="1"/>
  <c r="J425" i="4" a="1"/>
  <c r="J426" i="4" a="1"/>
  <c r="J427" i="4" a="1"/>
  <c r="J428" i="4" a="1"/>
  <c r="J429" i="4" a="1"/>
  <c r="J430" i="4" a="1"/>
  <c r="J431" i="4" a="1"/>
  <c r="J432" i="4" a="1"/>
  <c r="J433" i="4" a="1"/>
  <c r="J434" i="4" a="1"/>
  <c r="J435" i="4" a="1"/>
  <c r="J436" i="4" a="1"/>
  <c r="J437" i="4" a="1"/>
  <c r="J438" i="4" a="1"/>
  <c r="J439" i="4" a="1"/>
  <c r="J440" i="4" a="1"/>
  <c r="J441" i="4" a="1"/>
  <c r="J442" i="4" a="1"/>
  <c r="J443" i="4" a="1"/>
  <c r="J444" i="4" a="1"/>
  <c r="J445" i="4" a="1"/>
  <c r="J446" i="4" a="1"/>
  <c r="J448" i="4" a="1"/>
  <c r="J449" i="4" a="1"/>
  <c r="J450" i="4" a="1"/>
  <c r="J451" i="4" a="1"/>
  <c r="J452" i="4" a="1"/>
  <c r="J453" i="4" a="1"/>
  <c r="J454" i="4" a="1"/>
  <c r="J455" i="4" a="1"/>
  <c r="J456" i="4" a="1"/>
  <c r="J457" i="4" a="1"/>
  <c r="J458" i="4" a="1"/>
  <c r="J459" i="4" a="1"/>
  <c r="J460" i="4" a="1"/>
  <c r="J461" i="4" a="1"/>
  <c r="J462" i="4" a="1"/>
  <c r="J463" i="4" a="1"/>
  <c r="J464" i="4" a="1"/>
  <c r="J465" i="4" a="1"/>
  <c r="J466" i="4" a="1"/>
  <c r="J467" i="4" a="1"/>
  <c r="J468" i="4" a="1"/>
  <c r="J469" i="4" a="1"/>
  <c r="J470" i="4" a="1"/>
  <c r="J471" i="4" a="1"/>
  <c r="J472" i="4" a="1"/>
  <c r="J473" i="4" a="1"/>
  <c r="J474" i="4" a="1"/>
  <c r="J475" i="4" a="1"/>
  <c r="J476" i="4" a="1"/>
  <c r="J477" i="4" a="1"/>
  <c r="J478" i="4" a="1"/>
  <c r="J479" i="4" a="1"/>
  <c r="J480" i="4" a="1"/>
  <c r="J481" i="4" a="1"/>
  <c r="J482" i="4" a="1"/>
  <c r="J483" i="4" a="1"/>
  <c r="J484" i="4" a="1"/>
  <c r="J485" i="4" a="1"/>
  <c r="J618" i="4" a="1"/>
  <c r="J619" i="4" a="1"/>
  <c r="J620" i="4" a="1"/>
  <c r="J621" i="4" a="1"/>
  <c r="J622" i="4" a="1"/>
  <c r="J623" i="4" a="1"/>
  <c r="J624" i="4" a="1"/>
  <c r="J486" i="4" a="1"/>
  <c r="J487" i="4" a="1"/>
  <c r="J488" i="4" a="1"/>
  <c r="J489" i="4" a="1"/>
  <c r="J490" i="4" a="1"/>
  <c r="J491" i="4" a="1"/>
  <c r="J492" i="4" a="1"/>
  <c r="J493" i="4" a="1"/>
  <c r="J494" i="4" a="1"/>
  <c r="J495" i="4" a="1"/>
  <c r="J496" i="4" a="1"/>
  <c r="J497" i="4" a="1"/>
  <c r="J498" i="4" a="1"/>
  <c r="J499" i="4" a="1"/>
  <c r="J500" i="4" a="1"/>
  <c r="J501" i="4" a="1"/>
  <c r="J502" i="4" a="1"/>
  <c r="J503" i="4" a="1"/>
  <c r="J504" i="4" a="1"/>
  <c r="J505" i="4" a="1"/>
  <c r="J506" i="4" a="1"/>
  <c r="J507" i="4" a="1"/>
  <c r="J508" i="4" a="1"/>
  <c r="J509" i="4" a="1"/>
  <c r="J510" i="4" a="1"/>
  <c r="J511" i="4" a="1"/>
  <c r="J512" i="4" a="1"/>
  <c r="J513" i="4" a="1"/>
  <c r="J514" i="4" a="1"/>
  <c r="J515" i="4" a="1"/>
  <c r="J516" i="4" a="1"/>
  <c r="J517" i="4" a="1"/>
  <c r="J518" i="4" a="1"/>
  <c r="J519" i="4" a="1"/>
  <c r="J520" i="4" a="1"/>
  <c r="J521" i="4" a="1"/>
  <c r="J522" i="4" a="1"/>
  <c r="J523" i="4" a="1"/>
  <c r="J524" i="4" a="1"/>
  <c r="J525" i="4" a="1"/>
  <c r="J526" i="4" a="1"/>
  <c r="J527" i="4" a="1"/>
  <c r="J528" i="4" a="1"/>
  <c r="J529" i="4" a="1"/>
  <c r="J530" i="4" a="1"/>
  <c r="J531" i="4" a="1"/>
  <c r="J532" i="4" a="1"/>
  <c r="J533" i="4" a="1"/>
  <c r="J534" i="4" a="1"/>
  <c r="J535" i="4" a="1"/>
  <c r="J536" i="4" a="1"/>
  <c r="J537" i="4" a="1"/>
  <c r="J538" i="4" a="1"/>
  <c r="J539" i="4" a="1"/>
  <c r="J540" i="4" a="1"/>
  <c r="J541" i="4" a="1"/>
  <c r="J542" i="4" a="1"/>
  <c r="J543" i="4" a="1"/>
  <c r="J544" i="4" a="1"/>
  <c r="J545" i="4" a="1"/>
  <c r="J546" i="4" a="1"/>
  <c r="J547" i="4" a="1"/>
  <c r="J548" i="4" a="1"/>
  <c r="J549" i="4" a="1"/>
  <c r="J550" i="4" a="1"/>
  <c r="J552" i="4" a="1"/>
  <c r="J553" i="4" a="1"/>
  <c r="J554" i="4" a="1"/>
  <c r="J555" i="4" a="1"/>
  <c r="J556" i="4" a="1"/>
  <c r="J557" i="4" a="1"/>
  <c r="J558" i="4" a="1"/>
  <c r="J559" i="4" a="1"/>
  <c r="J560" i="4" a="1"/>
  <c r="J561" i="4" a="1"/>
  <c r="J562" i="4" a="1"/>
  <c r="J563" i="4" a="1"/>
  <c r="J564" i="4" a="1"/>
  <c r="J565" i="4" a="1"/>
  <c r="J566" i="4" a="1"/>
  <c r="J567" i="4" a="1"/>
  <c r="J568" i="4" a="1"/>
  <c r="J569" i="4" a="1"/>
  <c r="J570" i="4" a="1"/>
  <c r="J571" i="4" a="1"/>
  <c r="J572" i="4" a="1"/>
  <c r="J573" i="4" a="1"/>
  <c r="J574" i="4" a="1"/>
  <c r="J576" i="4" a="1"/>
  <c r="J577" i="4" a="1"/>
  <c r="J578" i="4" a="1"/>
  <c r="J579" i="4" a="1"/>
  <c r="J580" i="4" a="1"/>
  <c r="J581" i="4" a="1"/>
  <c r="J582" i="4" a="1"/>
  <c r="J583" i="4" a="1"/>
  <c r="J584" i="4" a="1"/>
  <c r="J585" i="4" a="1"/>
  <c r="J586" i="4" a="1"/>
  <c r="J587" i="4" a="1"/>
  <c r="J588" i="4" a="1"/>
  <c r="J589" i="4" a="1"/>
  <c r="J590" i="4" a="1"/>
  <c r="J591" i="4" a="1"/>
  <c r="J592" i="4" a="1"/>
  <c r="J593" i="4" a="1"/>
  <c r="J594" i="4" a="1"/>
  <c r="J595" i="4" a="1"/>
  <c r="J596" i="4" a="1"/>
  <c r="J597" i="4" a="1"/>
  <c r="J598" i="4" a="1"/>
  <c r="J599" i="4" a="1"/>
  <c r="J600" i="4" a="1"/>
  <c r="J601" i="4" a="1"/>
  <c r="J602" i="4" a="1"/>
  <c r="J603" i="4" a="1"/>
  <c r="J604" i="4" a="1"/>
  <c r="J605" i="4" a="1"/>
  <c r="J606" i="4" a="1"/>
  <c r="J607" i="4" a="1"/>
  <c r="J608" i="4" a="1"/>
  <c r="J609" i="4" a="1"/>
  <c r="J610" i="4" a="1"/>
  <c r="J611" i="4" a="1"/>
  <c r="J612" i="4" a="1"/>
  <c r="J613" i="4" a="1"/>
  <c r="J614" i="4" a="1"/>
  <c r="J615" i="4" a="1"/>
  <c r="J616" i="4" a="1"/>
  <c r="J617" i="4" a="1"/>
  <c r="J625" i="4" a="1"/>
  <c r="J626" i="4" a="1"/>
  <c r="J627" i="4" a="1"/>
  <c r="J628" i="4" a="1"/>
  <c r="J629" i="4" a="1"/>
  <c r="J630" i="4" a="1"/>
  <c r="J631" i="4" a="1"/>
  <c r="J632" i="4" a="1"/>
  <c r="J633" i="4" a="1"/>
  <c r="J634" i="4" a="1"/>
  <c r="J635" i="4" a="1"/>
  <c r="J636" i="4" a="1"/>
  <c r="J637" i="4" a="1"/>
  <c r="J638" i="4" a="1"/>
  <c r="J639" i="4" a="1"/>
  <c r="J640" i="4" a="1"/>
  <c r="J641" i="4" a="1"/>
  <c r="J642" i="4" a="1"/>
  <c r="J643" i="4" a="1"/>
  <c r="J644" i="4" a="1"/>
  <c r="J645" i="4" a="1"/>
  <c r="J646" i="4" a="1"/>
  <c r="J647" i="4" a="1"/>
  <c r="J648" i="4" a="1"/>
  <c r="J649" i="4" a="1"/>
  <c r="J650" i="4" a="1"/>
  <c r="J651" i="4" a="1"/>
  <c r="J652" i="4" a="1"/>
  <c r="J653" i="4" a="1"/>
  <c r="J654" i="4" a="1"/>
  <c r="J655" i="4" a="1"/>
  <c r="J656" i="4" a="1"/>
  <c r="J657" i="4" a="1"/>
  <c r="J658" i="4" a="1"/>
  <c r="J659" i="4" a="1"/>
  <c r="J660" i="4" a="1"/>
  <c r="J661" i="4" a="1"/>
  <c r="J662" i="4" a="1"/>
  <c r="J663" i="4" a="1"/>
  <c r="J664" i="4" a="1"/>
  <c r="J665" i="4" a="1"/>
  <c r="J666" i="4" a="1"/>
  <c r="J667" i="4" a="1"/>
  <c r="J668" i="4" a="1"/>
  <c r="J669" i="4" a="1"/>
  <c r="J670" i="4" a="1"/>
  <c r="J671" i="4" a="1"/>
  <c r="J672" i="4" a="1"/>
  <c r="J673" i="4" a="1"/>
  <c r="J674" i="4" a="1"/>
  <c r="J675" i="4" a="1"/>
  <c r="J676" i="4" a="1"/>
  <c r="J677" i="4" a="1"/>
  <c r="J678" i="4" a="1"/>
  <c r="J679" i="4" a="1"/>
  <c r="J680" i="4" a="1"/>
  <c r="J681" i="4" a="1"/>
  <c r="J682" i="4" a="1"/>
  <c r="J683" i="4" a="1"/>
  <c r="J684" i="4" a="1"/>
  <c r="J685" i="4" a="1"/>
  <c r="J686" i="4" a="1"/>
  <c r="J687" i="4" a="1"/>
  <c r="J688" i="4" a="1"/>
  <c r="J689" i="4" a="1"/>
  <c r="J690" i="4" a="1"/>
  <c r="J691" i="4" a="1"/>
  <c r="J692" i="4" a="1"/>
  <c r="J693" i="4" a="1"/>
  <c r="J694" i="4" a="1"/>
  <c r="J695" i="4" a="1"/>
  <c r="J696" i="4" a="1"/>
  <c r="J697" i="4" a="1"/>
  <c r="J698" i="4" a="1"/>
  <c r="J699" i="4" a="1"/>
  <c r="J700" i="4" a="1"/>
  <c r="J701" i="4" a="1"/>
  <c r="J702" i="4" a="1"/>
  <c r="J703" i="4" a="1"/>
  <c r="J704" i="4" a="1"/>
  <c r="J705" i="4" a="1"/>
  <c r="J706" i="4" a="1"/>
  <c r="J707" i="4" a="1"/>
  <c r="J708" i="4" a="1"/>
  <c r="J709" i="4" a="1"/>
  <c r="J710" i="4" a="1"/>
  <c r="J711" i="4" a="1"/>
  <c r="J712" i="4" a="1"/>
  <c r="J713" i="4" a="1"/>
  <c r="J714" i="4" a="1"/>
  <c r="J715" i="4" a="1"/>
  <c r="J716" i="4" a="1"/>
  <c r="J717" i="4" a="1"/>
  <c r="J718" i="4" a="1"/>
  <c r="J719" i="4" a="1"/>
  <c r="J720" i="4" a="1"/>
  <c r="J721" i="4" a="1"/>
  <c r="J722" i="4" a="1"/>
  <c r="J723" i="4" a="1"/>
  <c r="J724" i="4" a="1"/>
  <c r="J725" i="4" a="1"/>
  <c r="J726" i="4" a="1"/>
  <c r="J727" i="4" a="1"/>
  <c r="J728" i="4" a="1"/>
  <c r="J729" i="4" a="1"/>
  <c r="J730" i="4" a="1"/>
  <c r="J731" i="4" a="1"/>
  <c r="J732" i="4" a="1"/>
  <c r="J733" i="4" a="1"/>
  <c r="J734" i="4" a="1"/>
  <c r="J735" i="4" a="1"/>
  <c r="J736" i="4" a="1"/>
  <c r="J737" i="4" a="1"/>
  <c r="J738" i="4" a="1"/>
  <c r="J739" i="4" a="1"/>
  <c r="J740" i="4" a="1"/>
  <c r="J741" i="4" a="1"/>
  <c r="J742" i="4" a="1"/>
  <c r="J743" i="4" a="1"/>
  <c r="J744" i="4" a="1"/>
  <c r="J745" i="4" a="1"/>
  <c r="J746" i="4" a="1"/>
  <c r="J747" i="4" a="1"/>
  <c r="J748" i="4" a="1"/>
  <c r="J749" i="4" a="1"/>
  <c r="J750" i="4" a="1"/>
  <c r="J751" i="4" a="1"/>
  <c r="J752" i="4" a="1"/>
  <c r="J753" i="4" a="1"/>
  <c r="J754" i="4" a="1"/>
  <c r="J755" i="4" a="1"/>
  <c r="J756" i="4" a="1"/>
  <c r="J757" i="4" a="1"/>
  <c r="J758" i="4" a="1"/>
  <c r="J759" i="4" a="1"/>
  <c r="J760" i="4" a="1"/>
  <c r="J761" i="4" a="1"/>
  <c r="J762" i="4" a="1"/>
  <c r="J763" i="4" a="1"/>
  <c r="J764" i="4" a="1"/>
  <c r="J765" i="4" a="1"/>
  <c r="J766" i="4" a="1"/>
  <c r="J767" i="4" a="1"/>
  <c r="J768" i="4" a="1"/>
  <c r="J769" i="4" a="1"/>
  <c r="J770" i="4" a="1"/>
  <c r="J771" i="4" a="1"/>
  <c r="J772" i="4" a="1"/>
  <c r="J773" i="4" a="1"/>
  <c r="J774" i="4" a="1"/>
  <c r="J775" i="4" a="1"/>
  <c r="J776" i="4" a="1"/>
  <c r="J777" i="4" a="1"/>
  <c r="J778" i="4" a="1"/>
  <c r="J779" i="4" a="1"/>
  <c r="J780" i="4" a="1"/>
  <c r="J781" i="4" a="1"/>
  <c r="J782" i="4" a="1"/>
  <c r="J783" i="4" a="1"/>
  <c r="J784" i="4" a="1"/>
  <c r="J785" i="4" a="1"/>
  <c r="J786" i="4" a="1"/>
  <c r="J787" i="4" a="1"/>
  <c r="J788" i="4" a="1"/>
  <c r="J789" i="4" a="1"/>
  <c r="J791" i="4" a="1"/>
  <c r="J792" i="4" a="1"/>
  <c r="J793" i="4" a="1"/>
  <c r="J794" i="4" a="1"/>
  <c r="J795" i="4" a="1"/>
  <c r="J796" i="4" a="1"/>
  <c r="H32" i="4" l="1"/>
  <c r="H62" i="4"/>
  <c r="H87" i="4"/>
  <c r="H22" i="4"/>
  <c r="J796" i="4" l="1"/>
  <c r="J795" i="4"/>
  <c r="J794" i="4"/>
  <c r="J793" i="4"/>
  <c r="J792" i="4"/>
  <c r="J791" i="4"/>
  <c r="J789" i="4"/>
  <c r="J788" i="4"/>
  <c r="J787" i="4"/>
  <c r="J786" i="4"/>
  <c r="J785" i="4"/>
  <c r="J784" i="4"/>
  <c r="J783" i="4"/>
  <c r="K783" i="4" s="1"/>
  <c r="J782" i="4"/>
  <c r="J781" i="4"/>
  <c r="J780" i="4"/>
  <c r="J779" i="4"/>
  <c r="J778" i="4"/>
  <c r="J777" i="4"/>
  <c r="K777" i="4" s="1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K641" i="4" s="1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K625" i="4" s="1"/>
  <c r="J617" i="4"/>
  <c r="K617" i="4" s="1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624" i="4"/>
  <c r="J623" i="4"/>
  <c r="J622" i="4"/>
  <c r="J621" i="4"/>
  <c r="J620" i="4"/>
  <c r="J619" i="4"/>
  <c r="J618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K336" i="4" s="1"/>
  <c r="J335" i="4"/>
  <c r="J334" i="4"/>
  <c r="J333" i="4"/>
  <c r="J332" i="4"/>
  <c r="J331" i="4"/>
  <c r="J330" i="4"/>
  <c r="J329" i="4"/>
  <c r="J328" i="4"/>
  <c r="J327" i="4"/>
  <c r="K327" i="4" s="1"/>
  <c r="H327" i="4" s="1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7" i="4"/>
  <c r="J96" i="4"/>
  <c r="J95" i="4"/>
  <c r="J94" i="4"/>
  <c r="J93" i="4"/>
  <c r="J92" i="4"/>
  <c r="J91" i="4"/>
  <c r="J90" i="4"/>
  <c r="J89" i="4"/>
  <c r="J88" i="4"/>
  <c r="J87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41" i="4"/>
  <c r="J39" i="4"/>
  <c r="J38" i="4"/>
  <c r="J37" i="4"/>
  <c r="J36" i="4"/>
  <c r="J34" i="4"/>
  <c r="J33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H641" i="4" l="1"/>
  <c r="H777" i="4"/>
  <c r="H625" i="4"/>
  <c r="H336" i="4"/>
  <c r="H783" i="4"/>
  <c r="K764" i="4"/>
  <c r="K635" i="4"/>
  <c r="H617" i="4"/>
  <c r="K610" i="4" s="1"/>
  <c r="H610" i="4" l="1"/>
  <c r="K601" i="4" s="1"/>
  <c r="H764" i="4"/>
  <c r="K755" i="4" s="1"/>
  <c r="H635" i="4"/>
  <c r="K630" i="4" s="1"/>
  <c r="H630" i="4" l="1"/>
  <c r="H755" i="4"/>
  <c r="K742" i="4" s="1"/>
  <c r="H601" i="4"/>
  <c r="K596" i="4" s="1"/>
  <c r="H596" i="4" l="1"/>
  <c r="K593" i="4" s="1"/>
  <c r="H742" i="4"/>
  <c r="K705" i="4" s="1"/>
  <c r="H705" i="4" l="1"/>
  <c r="K701" i="4" s="1"/>
  <c r="H593" i="4"/>
  <c r="K580" i="4" s="1"/>
  <c r="H580" i="4" l="1"/>
  <c r="H575" i="4" s="1"/>
  <c r="K568" i="4" s="1"/>
  <c r="H701" i="4"/>
  <c r="K684" i="4" s="1"/>
  <c r="H684" i="4" l="1"/>
  <c r="K678" i="4" s="1"/>
  <c r="H568" i="4"/>
  <c r="K548" i="4" s="1"/>
  <c r="H548" i="4" l="1"/>
  <c r="K535" i="4" s="1"/>
  <c r="H678" i="4"/>
  <c r="K664" i="4" s="1"/>
  <c r="H664" i="4" l="1"/>
  <c r="K654" i="4" s="1"/>
  <c r="H535" i="4"/>
  <c r="K531" i="4" s="1"/>
  <c r="H531" i="4" l="1"/>
  <c r="K522" i="4" s="1"/>
  <c r="H654" i="4"/>
  <c r="H522" i="4" l="1"/>
  <c r="K517" i="4" s="1"/>
  <c r="H517" i="4" l="1"/>
  <c r="K503" i="4" s="1"/>
  <c r="H503" i="4" l="1"/>
  <c r="K460" i="4" s="1"/>
  <c r="H460" i="4" l="1"/>
  <c r="K449" i="4" s="1"/>
  <c r="H449" i="4" l="1"/>
  <c r="K433" i="4" s="1"/>
  <c r="H433" i="4" l="1"/>
  <c r="K408" i="4" s="1"/>
  <c r="H408" i="4" l="1"/>
  <c r="K367" i="4" s="1"/>
  <c r="H367" i="4" l="1"/>
  <c r="K331" i="4" s="1"/>
  <c r="H331" i="4" l="1"/>
  <c r="K316" i="4" l="1"/>
  <c r="H316" i="4" l="1"/>
  <c r="H272" i="4" s="1"/>
  <c r="K252" i="4" s="1"/>
  <c r="H252" i="4" l="1"/>
  <c r="K244" i="4" s="1"/>
  <c r="H244" i="4" l="1"/>
  <c r="K234" i="4" s="1"/>
  <c r="H234" i="4" l="1"/>
  <c r="K220" i="4" s="1"/>
  <c r="H220" i="4" l="1"/>
  <c r="K201" i="4" s="1"/>
  <c r="H201" i="4" l="1"/>
  <c r="K187" i="4" s="1"/>
  <c r="H187" i="4" l="1"/>
  <c r="K173" i="4" s="1"/>
  <c r="H173" i="4" l="1"/>
  <c r="K166" i="4" s="1"/>
  <c r="H166" i="4" l="1"/>
  <c r="K155" i="4" s="1"/>
  <c r="H155" i="4" s="1"/>
  <c r="K147" i="4" l="1"/>
  <c r="J7" i="4" l="1"/>
  <c r="H147" i="4"/>
  <c r="F7" i="4" l="1"/>
  <c r="G7" i="4"/>
  <c r="E7" i="4"/>
  <c r="H7" i="4" l="1"/>
  <c r="I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<sst xmlns="http://schemas.openxmlformats.org/spreadsheetml/2006/main" count="2157" uniqueCount="624">
  <si>
    <t>SECTION ELECTRIC, INSTRUMENT, CONTROL (EIC)</t>
  </si>
  <si>
    <t>SCHED-OK</t>
  </si>
  <si>
    <t>FINISH</t>
  </si>
  <si>
    <t>IN PROGRESS</t>
  </si>
  <si>
    <t>TOTAL</t>
  </si>
  <si>
    <t>% FINISH</t>
  </si>
  <si>
    <t>∑ PROGRES</t>
  </si>
  <si>
    <t>NO</t>
  </si>
  <si>
    <t>NO WO</t>
  </si>
  <si>
    <t>JOB DESCRIPTION</t>
  </si>
  <si>
    <t>DATED</t>
  </si>
  <si>
    <t>STATUS</t>
  </si>
  <si>
    <t>PIC</t>
  </si>
  <si>
    <t>N Task</t>
  </si>
  <si>
    <t>%Estimation</t>
  </si>
  <si>
    <t>SCOPE</t>
  </si>
  <si>
    <t>REMARKS</t>
  </si>
  <si>
    <t>SCHEDULE</t>
  </si>
  <si>
    <t>ACTUAL START</t>
  </si>
  <si>
    <t>Aidhiy</t>
  </si>
  <si>
    <t>SUPERVISE, QC, OTHER TASK AS PER EIC JP</t>
  </si>
  <si>
    <t>INSPECTION FRAME MOTOR</t>
  </si>
  <si>
    <t>REGREASING (JIKA DILENGKAPI NIPPLE GREASE)</t>
  </si>
  <si>
    <t>INSPECTION BEARING DAN REPLACEMENT (JIKA DIPERLUKAN)</t>
  </si>
  <si>
    <t>INSPECTION TAHANAN ISOLASI</t>
  </si>
  <si>
    <t>INSPECTION TAHANAN WINDING</t>
  </si>
  <si>
    <t>INSPECTION COOLING FAN</t>
  </si>
  <si>
    <t>INSPECTION TERMINASI</t>
  </si>
  <si>
    <t>INSPECTION KONEKSI GROUNDING SYSTEM</t>
  </si>
  <si>
    <t>INSPECTION AND CALIBRATION MEASUREMENT DEVICE</t>
  </si>
  <si>
    <t>INSPECTION BEARING &amp; REPLACEMENT</t>
  </si>
  <si>
    <t>M. Toher</t>
  </si>
  <si>
    <t>AMP</t>
  </si>
  <si>
    <t>JAPA</t>
  </si>
  <si>
    <t>REPOSISI MOTOR</t>
  </si>
  <si>
    <t>DISSASEMBLY COVER FAN DAN COVER BEARING SISI DE DAN NDE</t>
  </si>
  <si>
    <t>INSPEKSI DAN CLEANING BALL BEARING DE DAN NDE (REPLACE BEARING IF NEEDED)</t>
  </si>
  <si>
    <t>REGREASING BEARING DAN PENGUKURAN TAHANAN ISOLASI</t>
  </si>
  <si>
    <t>PENGUKURAN TAHANAN BELITAN</t>
  </si>
  <si>
    <t>ASSEMBLY ALL PART AND REPOSISI MOTOR</t>
  </si>
  <si>
    <t>M. Zaini</t>
  </si>
  <si>
    <t>INSPEKSI DAN CLEANING BALL BEARING DE DAN NDE</t>
  </si>
  <si>
    <t>REPLACE BEARING IF NEEDED</t>
  </si>
  <si>
    <t>MSW</t>
  </si>
  <si>
    <t xml:space="preserve">20HLB01CP104: LO HEADER PRESSURE LOW ALARM FOR PA FAN-1  </t>
  </si>
  <si>
    <t xml:space="preserve">20HLB01CP103: PRESSURE SWITCH TO START PERMISSIVE FOR PA FAN-1 START  </t>
  </si>
  <si>
    <t xml:space="preserve">20HLB01CP102: PRESSURE SWITCH TO START LO PA FAN-1 STANDBY PUMP  </t>
  </si>
  <si>
    <t xml:space="preserve">20HLB01CP101: DP SWITCH ACROSS LO TANK FOR PA FAN-1  </t>
  </si>
  <si>
    <t xml:space="preserve">20HLB02CP104: LO HEADER PRESSURE LOW ALARM FOR PA FAN-2  </t>
  </si>
  <si>
    <t xml:space="preserve">20HLB02CP103: PRESSURE SWITCH TO START PERMISSIVE FOR PA FAN-2 START  </t>
  </si>
  <si>
    <t xml:space="preserve">20HLB02CP102: PRESSURE SWITCH TO START LO PA FAN-2 STANDBY PUMP </t>
  </si>
  <si>
    <t xml:space="preserve">20HLB02CP101: DP SWITCH ACROSS LO TANK FOR SA FAN-1  </t>
  </si>
  <si>
    <t xml:space="preserve">20HLB05CP104: LO HEADER PRESSURE LOW ALARM FOR SA FAN-1  </t>
  </si>
  <si>
    <t xml:space="preserve">20HLB05CP103: PRESSURE SWITCH TO START PERMISSIVE FOR SA FAN-1 START  </t>
  </si>
  <si>
    <t xml:space="preserve">20HLB05CP102: PRESSURE SWITCH TO START LO SA FAN-1 STANDBY PUMP  </t>
  </si>
  <si>
    <t>20HLB05CP101: DP SWITCH ACROSS LO TANK FOR SA FAN-1</t>
  </si>
  <si>
    <t>Jhon FM</t>
  </si>
  <si>
    <t xml:space="preserve">20HLB06CP104: LO HEADER PRESSURE LOW ALARM FOR SA FAN-2  </t>
  </si>
  <si>
    <t xml:space="preserve">20HLB06CP103: PRESSURE SWITCH TO START PERMISSIVE FOR SA FAN-2 START  </t>
  </si>
  <si>
    <t xml:space="preserve">20HLB06CP102: PRESSURE SWITCH TO START LO SA FAN-2 STANDBY PUMP  </t>
  </si>
  <si>
    <t xml:space="preserve">20HLB06CP101: DP SWITCH ACROSS LO TANK FOR SA FAN-2  </t>
  </si>
  <si>
    <t>INSPECTION FRAME MOTOR DRAG CHAIN</t>
  </si>
  <si>
    <t>INSPECTION FRAME MOTOR ROTARY AIR LOCK</t>
  </si>
  <si>
    <t>INSPECTION OF IGNITER GUN</t>
  </si>
  <si>
    <t>INSPECTION OF START UP BURNER SKID DEVICE</t>
  </si>
  <si>
    <t>ACTUATOR SKID BURNER MAIN LDO LINE CONTROL VALVE</t>
  </si>
  <si>
    <t>ACTUATOR SKID BURNER 1 LDO LINE CONTROL VALVE</t>
  </si>
  <si>
    <t>ACTUATOR SKID BURNER 1 ATOMISING AIR LINE CONTROL VALVE</t>
  </si>
  <si>
    <t>ACTUATOR SKID BURNER 1 ATOM AIR ISOLATION VALVE</t>
  </si>
  <si>
    <t>ACTUATOR SKID BURNER 1 LDO ISOLATION VALVE</t>
  </si>
  <si>
    <t>ACTUATOR SKID BURNER 1 SCAVENGING VALVE</t>
  </si>
  <si>
    <t>ACTUATOR SKID BURNER 2 LDO LINE CONTROL VALVE</t>
  </si>
  <si>
    <t>ACTUATOR SKID BURNER 2 ATOMISING AIR LINE CONTROL VALVE</t>
  </si>
  <si>
    <t>ACTUATOR SKID BURNER 2 ATOM AIR ISOLATION VALVE</t>
  </si>
  <si>
    <t>ACTUATOR SKID BURNER 2 LDO ISOLATION VALVE</t>
  </si>
  <si>
    <t>ACTUATOR SKID BURNER 2 SCAVENGING VALVE</t>
  </si>
  <si>
    <t>Ferryus</t>
  </si>
  <si>
    <t>PENGGANTIAN BEARING (JIKA DIPERLUKAN)</t>
  </si>
  <si>
    <t xml:space="preserve">PENGGANTIAN BEARING </t>
  </si>
  <si>
    <t>M. Iqbal</t>
  </si>
  <si>
    <t>Yoga</t>
  </si>
  <si>
    <t>MSW20LAC10-M101:MOV DISCHARGE BFP-1</t>
  </si>
  <si>
    <t>MSW20LAC10-M201:MOV DISCHARGE BFP-2</t>
  </si>
  <si>
    <t>CALIBRATION/FUNCTION ISOLATION (ON/OFF) VALVE</t>
  </si>
  <si>
    <t>INSPECTION MEKANIK PENGGERAK</t>
  </si>
  <si>
    <t>INSPECTION MOTOR CHARGING</t>
  </si>
  <si>
    <t>INSPECTION BEARING DRIVE RACK OUT/IN</t>
  </si>
  <si>
    <t>REGREASING SOCKET MAIN KONTAK</t>
  </si>
  <si>
    <t>INSPECTION SYSTEM KONTROL</t>
  </si>
  <si>
    <t>TEST TAHANAN KONTAK</t>
  </si>
  <si>
    <t>TEST KESEREMPAKAN</t>
  </si>
  <si>
    <t>INSPECTION TAHANAN ISOLASI KONTAK</t>
  </si>
  <si>
    <t>INSPECTION TAHANAN ISOLASI BUS BAR</t>
  </si>
  <si>
    <t>FUNCTION TEST</t>
  </si>
  <si>
    <t>PENGUKURAN TAHANAN MOTOR CHARGING, CLOSING DAN TRIPPING COIL</t>
  </si>
  <si>
    <t>INSPECTION MODUL CONTROL BREAKER</t>
  </si>
  <si>
    <t>INSPECTION LAMPU SWITCH GEAR GCB</t>
  </si>
  <si>
    <t>INDIKATOR DAN LAMPU PANEL SWITCH GEAR GCB</t>
  </si>
  <si>
    <t>PENGETESAN POWER DC UNTUK SUPPLY CONTROL 6,3 KV SWITCH GEAR GCB</t>
  </si>
  <si>
    <t>INSPECTION HEATER CUBICLE SWITCH GEAR GCB</t>
  </si>
  <si>
    <t>INSPECTION DAN CLEANING TERMINASI SWITCH GEAR GCB</t>
  </si>
  <si>
    <t>INSPECTION DAN PENGUJIAN RELAY PROTEKSI SWITCH GEAR GCB</t>
  </si>
  <si>
    <t>INSPECTION GROUNDING SYSTEM SWITCH GEAR GCB</t>
  </si>
  <si>
    <t>INSPECTION TAHANAN ISOLASI BUS BAR SWITCH GEAR GCB</t>
  </si>
  <si>
    <t>INSPECTION CT &amp; PT SWITCH GEAR GCB</t>
  </si>
  <si>
    <t>FUNCTION TEST SWITCH GEAR GCB</t>
  </si>
  <si>
    <t>INSPECTION HEATER SYSTEM</t>
  </si>
  <si>
    <t>INSPECTION DISPLAY BREAKER</t>
  </si>
  <si>
    <t>INSPECTION HEATER BUSDUCT</t>
  </si>
  <si>
    <t>INSPECTION BOLT BUSBAR, FLANGE &amp; INSPECTION HOLE BUSDUCT</t>
  </si>
  <si>
    <t>INSPECTION SILICA BUSDUCT</t>
  </si>
  <si>
    <t>CEK KEBOCORAN DAN KELEMBAPAN BUSDUCT</t>
  </si>
  <si>
    <t>INSPECTION CONTACT RESISTANCE BUSDUCT</t>
  </si>
  <si>
    <t>INSPECTION ISOLATION RESISTANCE BUSDUCT</t>
  </si>
  <si>
    <t>DISASSEMBLY BRACKET GENERATOR SISI FRONT</t>
  </si>
  <si>
    <t>DISASSEMBLY BRACKET GENERATOR SISI REAR</t>
  </si>
  <si>
    <t>DISASSEMBLY OIL DEFLECTOR BEARING</t>
  </si>
  <si>
    <t>CLEANING BODY GENERATOR</t>
  </si>
  <si>
    <t>CLEANING OIL DEFLECTOR BEARING</t>
  </si>
  <si>
    <t>CLEANING BOLT &amp; NUT</t>
  </si>
  <si>
    <t>INSPECTION OIL DEFLECTOR BEARING 3 &amp; 4</t>
  </si>
  <si>
    <t>INSPECTION SHROUD &amp; FAN BLADE</t>
  </si>
  <si>
    <t>INSPECTION STATOR GENERATOR (IR, PI)</t>
  </si>
  <si>
    <t>INSPECTION ROTOR GENERATOR (IR, PI, RSO)</t>
  </si>
  <si>
    <t>INSPECTION VISUAL ISOLATOR</t>
  </si>
  <si>
    <t>INSPECTION ROTOR GROUNDING</t>
  </si>
  <si>
    <t>INSPECTION VISUAL FLEXIBLE ISOLATOR</t>
  </si>
  <si>
    <t>INSPECTION BRUSH GROUNDING</t>
  </si>
  <si>
    <t>INSPECTION TAHANAN ISOLASI GENERATOR</t>
  </si>
  <si>
    <t>INSPECTION HEATER NEUTRAL SIDE CUBICLE</t>
  </si>
  <si>
    <t>INSPECTION HEATER LINE SIDE CUBICLE</t>
  </si>
  <si>
    <t>ASSEMBLY OIL DEFLECTOR BEARING</t>
  </si>
  <si>
    <t>ASSEMBLY BRACKET SISI FRONT</t>
  </si>
  <si>
    <t>ASSEMBLY BRACKET SISI REAR</t>
  </si>
  <si>
    <t>PENGUKURAN TAHANAN RESISTOR</t>
  </si>
  <si>
    <t>INSPECTION &amp; CLEANING PT</t>
  </si>
  <si>
    <t>INSPECTION &amp; CLEANING CT</t>
  </si>
  <si>
    <t>PENGUKURAN TAHANAN ISOLASI  PERMANEN MAGNET GENERATOR (PMG)</t>
  </si>
  <si>
    <t>INSPECTION DIODA EXCITER PERMANEN MAGNET GENERATOR (PMG)</t>
  </si>
  <si>
    <t>INSPECTION TERMINASI PERMANEN MAGNET GENERATOR (PMG)</t>
  </si>
  <si>
    <t>INSPECTION GROUNDING SYSTEM PERMANEN MAGNET GENERATOR (PMG)</t>
  </si>
  <si>
    <t>INSPECTION FUSE PANEL PERMANEN MAGNET GENERATOR (PMG)</t>
  </si>
  <si>
    <t>INSPECTION DISCONNECTING SWITCH NETRAL GROUNDING RESISTANCE (NGR)</t>
  </si>
  <si>
    <t>INSPECTION TRAFO NETRAL GROUNDING RESISTANCE (NGR)</t>
  </si>
  <si>
    <t>INSPECTION ISOLATOR BUSHING NETRAL GROUNDING RESISTANCE (NGR)</t>
  </si>
  <si>
    <t>INSPECTION TERMINASI NETRAL GROUNDING RESISTANCE (NGR)</t>
  </si>
  <si>
    <t>TEST TAHANAN ISOLASI NETRAL GROUNDING RESISTANCE (NGR)</t>
  </si>
  <si>
    <t>INSPECTION HEATER BUSDUCT NETRAL GROUNDING RESISTANCE (NGR)</t>
  </si>
  <si>
    <t>CLEANING</t>
  </si>
  <si>
    <t>INSPECTION ISOLATOR BUSHING</t>
  </si>
  <si>
    <t>CLEANING BUSHING CONNECTION HV &amp; LV</t>
  </si>
  <si>
    <t>INSPECTION DAN CLEANING PANEL</t>
  </si>
  <si>
    <t>INSPECTION SILICAGEL</t>
  </si>
  <si>
    <t>INSPECTION GROUNDING SYSTEM</t>
  </si>
  <si>
    <t>INSPECTION KEBOCORAN MINYAK TRAFO</t>
  </si>
  <si>
    <t>PROTECTIVE DEVICE TEST DAN RESET TRAFO</t>
  </si>
  <si>
    <t>INSPECTION PANEL TAP CHANGER</t>
  </si>
  <si>
    <t>INSPECTION TAHANAN ISOLASI WINDING TRAFO</t>
  </si>
  <si>
    <t>RDS TEST</t>
  </si>
  <si>
    <t>MECHANICAL RELAY TEST</t>
  </si>
  <si>
    <t>INSPECTION GROUNDING SYSTEM NETRAL GROUNDING RESISTANCE (NGR)</t>
  </si>
  <si>
    <t>MSW00BBA10CE201:MV COMMON METERING</t>
  </si>
  <si>
    <t>MSW00BBA10GH201:SWITCHGEAR 6.6KV COMMON BUSTIE RIGHT</t>
  </si>
  <si>
    <t>MSW00BBA10GH202:SWITCHGEAR 6.6KV COMMON BUSTIE LEFT</t>
  </si>
  <si>
    <t>MSW00BBA10GH203:SWITCHGEAR 6.6KV COMMON TRAFO FEEDER</t>
  </si>
  <si>
    <t>CONDENSATE PRESSURE TO BYPASS SPRAY PRESSURE TRANSMITTER (20LCE40CP001)</t>
  </si>
  <si>
    <t>CONDENSATE PRESSURE TO BYPASS SPRAY PRESSURE TRANSMITTER (20LCE40CP002)</t>
  </si>
  <si>
    <t>CONDENSATE PRESSURE TO BYPASS SPRAY PRESSURE TRANSMITTER (20LCE40CP003)</t>
  </si>
  <si>
    <t>ACTUATOR MOV PREHEATING 1 TURBINE</t>
  </si>
  <si>
    <t>ACTUATOR MOV PREHEATING 2 TURBINE</t>
  </si>
  <si>
    <t>TURBINE EXTRACTION II TO LPH2 TEMPERATURE TRANSMITTER (20LBD30CT001)</t>
  </si>
  <si>
    <t>TURBINE EXTRACTION III TO DEAERATOR TEMPERATURE TRANSMITTER (20LBD20CT001)</t>
  </si>
  <si>
    <t>TURBINE EXTRACTION I TO LPH1 TEMPERATURE TRANSMITTER (20LBD10CT001)</t>
  </si>
  <si>
    <t xml:space="preserve">MOV TURBINE STEAM EXTRACTION-1 </t>
  </si>
  <si>
    <t>MOV TURBINE STEAM EXTRACTION-2</t>
  </si>
  <si>
    <t xml:space="preserve">MOV MAIN STEAM DRAIN STG-2  </t>
  </si>
  <si>
    <t xml:space="preserve">CONTROL VALVE LPH-1  </t>
  </si>
  <si>
    <t xml:space="preserve">CONTROL VALVE LPH-2  </t>
  </si>
  <si>
    <t xml:space="preserve">MSW00CYE10GH101 : ALARM SYSTEM ADMIN BUILDING  </t>
  </si>
  <si>
    <t xml:space="preserve">MSW00CYE10GH102 : ALARM SYSTEM DG SHEET  </t>
  </si>
  <si>
    <t xml:space="preserve">MSW00CYE10GH103 : PANEL MAIN FIRE ALARM SYSTEM  </t>
  </si>
  <si>
    <t xml:space="preserve">MSW00CYE10GH104 : ALARM SYSTEM DM MCC ROOM  </t>
  </si>
  <si>
    <t xml:space="preserve">MSW00CYE10GH105 : ALARM SYSTEM CHP MCC  </t>
  </si>
  <si>
    <t xml:space="preserve">MSW00CYE10GH106 : ALARM SYSTEM AHP MCC  </t>
  </si>
  <si>
    <t xml:space="preserve">MSW00CYE10GH107 : ALARM SYSTEM COOLING WATER  </t>
  </si>
  <si>
    <t xml:space="preserve">MSW00CYE10GH108 : ALARM SYSTEM DM/RW.FW TW PUMP  </t>
  </si>
  <si>
    <t xml:space="preserve">MSW00CYE10GH109 : ALARM SYSTEM WORKSHOP OFFICE ROOM  </t>
  </si>
  <si>
    <t xml:space="preserve">MSW00CYE10GH110 : ALARM SYSTEM SWAS ROOM  </t>
  </si>
  <si>
    <t xml:space="preserve">MSW00CYE10GH111 : ALARM SYSTEM STG BUILDING  </t>
  </si>
  <si>
    <t xml:space="preserve">MSW00CYE10GH113 : ALARM SYSTEM SWITCHYARD BUILDING  </t>
  </si>
  <si>
    <t xml:space="preserve">MSW00CYE10GH114 : ALARM SYSTEM REMOTE SUBSTATION BUILDING  </t>
  </si>
  <si>
    <t>INSPECTION AND CALIBRATION OXYGEN ANALYZER</t>
  </si>
  <si>
    <t>PM PC OWS</t>
  </si>
  <si>
    <t>PM PC EWS</t>
  </si>
  <si>
    <t>PM panel RIO</t>
  </si>
  <si>
    <t>INSPECTION &amp; CALIBRATION STEAM DRUM VENTING ISOLATION VALVE</t>
  </si>
  <si>
    <t>INSPECTION &amp; CALIBRATION  STEAM DRUM MOV VENTING REGULATING VALVE</t>
  </si>
  <si>
    <t>INSPECTION &amp; CALIBRATION  STEAM DRUM CBD ISOLATION VALVE</t>
  </si>
  <si>
    <t>INSPECTION &amp; CALIBRATION  STEAM DRUM MOV CBD REGULATING VALVE</t>
  </si>
  <si>
    <t>INSPECTION &amp; CALIBRATION  STEAM DRUM IBD ISOLATION VALVE</t>
  </si>
  <si>
    <t>INSPECTION &amp; CALIBRATION  STEAM DRUM MOV IBD REGULATING VALVE</t>
  </si>
  <si>
    <t>ACTUATOR DAMPER SEALPOT BLOWER 1</t>
  </si>
  <si>
    <t>ACTUATOR DAMPER SEALPOT BLOWER 2</t>
  </si>
  <si>
    <t>CALIBRATION PRESSURE TRANSMITTER</t>
  </si>
  <si>
    <t>CALIBRATION TEMPERATURE TRANSMITTER</t>
  </si>
  <si>
    <t>INSPEKSI &amp; PM OIL PUMP MOTOR ( AUXILIARY, EMERGENCY, JACKING, BREATHER )</t>
  </si>
  <si>
    <t>VALVE POSITION BLOCK LIVE STEAM PT (20MAX45CP001)</t>
  </si>
  <si>
    <t>VALVE POSITION BLOCK LIVE STEAM PT (20MAX45CP002)</t>
  </si>
  <si>
    <t>VALVE POSITION BLOCK LIVE STEAM PT (20MAX45CP003)</t>
  </si>
  <si>
    <t>VALVE BLOCK - OUTLET POSITION LIVE STEAM PT (20MAX45CP004)</t>
  </si>
  <si>
    <t>CONTROL OIL PRESSURE PT (20MAX40CP001)</t>
  </si>
  <si>
    <t>CALIBRATION/FUNCTION TEST CONTROL VALVE</t>
  </si>
  <si>
    <t>CALIBRATION/FUNCTION TEST HP BYPASS CONTROL VALVE  20LBF10AA210</t>
  </si>
  <si>
    <t>DISCHARGE, SUCTION &amp; VENTING VALVE VACUUM PUMP-1</t>
  </si>
  <si>
    <t xml:space="preserve">DISCHARGE, SUCTION &amp; VENTING VALVE VACUUM PUMP-2 </t>
  </si>
  <si>
    <t>M Iqbal</t>
  </si>
  <si>
    <t>CALIBRATION LIMIT SWITCH</t>
  </si>
  <si>
    <t>CEP DISCHARGE ISOLATION VALVE</t>
  </si>
  <si>
    <t>PENGUJIAN PROTEKSI FREQUENCY</t>
  </si>
  <si>
    <t>PENGUJIAN PROTEKSI DIFFERENSIAL GENERATOR</t>
  </si>
  <si>
    <t>PENGUJIAN PROTEKSI SHORT CIRCUIT</t>
  </si>
  <si>
    <t>PENGUJIAN PROTEKSI OVERCURRENT</t>
  </si>
  <si>
    <t>PENGUJIAN PROTEKSI OVERVOLTAGE</t>
  </si>
  <si>
    <t>PENGUJIAN PROTEKSI ROTOR EARTH FAULT</t>
  </si>
  <si>
    <t>PENGUJIAN PROTEKSI STATOR EARTH FAULT</t>
  </si>
  <si>
    <t>PENGUJIAN PROTEKSI REVERSE POWER</t>
  </si>
  <si>
    <t>PENGUJIAN PROTEKSI UNDER EXCITATION</t>
  </si>
  <si>
    <t>PENGUJIAN PROTEKSI OVER EXCITATION</t>
  </si>
  <si>
    <t>PENGUJIAN PROTEKSI NEGATIVE SEQUENCE</t>
  </si>
  <si>
    <t>PENGUJIAN PROTEKSI OVERLOAD</t>
  </si>
  <si>
    <t>CLEANING DAN TIGHTNING</t>
  </si>
  <si>
    <t>PERAWATAN BAGIAN EXTERNAL ENCLOSURE PANEL</t>
  </si>
  <si>
    <t>MEMBERSIHKAN FILTER PANEL</t>
  </si>
  <si>
    <t>PEMELIHARAAN FAN CONVERTER UNITROL</t>
  </si>
  <si>
    <t>MEMBERSIHKAN KOMPARTEMEN DALAM PANEL</t>
  </si>
  <si>
    <t>HOUSEKEEPING</t>
  </si>
  <si>
    <t>CLEANING, INSPECTION, &amp; REGREASING ALL SOOT BLOWER MOTOR 1</t>
  </si>
  <si>
    <t>CLEANING, INSPECTION, &amp; REGREASING ALL SOOT BLOWER MOTOR 2</t>
  </si>
  <si>
    <t>CLEANING, INSPECTION, &amp; REGREASING ALL SOOT BLOWER MOTOR 3</t>
  </si>
  <si>
    <t>CLEANING, INSPECTION, &amp; REGREASING ALL SOOT BLOWER MOTOR 4</t>
  </si>
  <si>
    <t>CLEANING, INSPECTION, &amp; REGREASING ALL SOOT BLOWER MOTOR 5</t>
  </si>
  <si>
    <t>CLEANING, INSPECTION, &amp; REGREASING ALL SOOT BLOWER MOTOR 6</t>
  </si>
  <si>
    <t>CLEANING, INSPECTION, &amp; REGREASING ALL SOOT BLOWER MOTOR 7</t>
  </si>
  <si>
    <t>CLEANING, INSPECTION, &amp; REGREASING ALL SOOT BLOWER MOTOR 8</t>
  </si>
  <si>
    <t>CLEANING, INSPECTION, &amp; REGREASING ALL SOOT BLOWER MOTOR 9</t>
  </si>
  <si>
    <t>CLEANING, INSPECTION, &amp; REGREASING ALL SOOT BLOWER MOTOR 10</t>
  </si>
  <si>
    <t>CLEANING, INSPECTION, &amp; REGREASING ALL SOOT BLOWER MOTOR 11</t>
  </si>
  <si>
    <t xml:space="preserve">INSPEKSI LV TRANSFORMER </t>
  </si>
  <si>
    <t xml:space="preserve">RDC Test LV TRANSFORMER </t>
  </si>
  <si>
    <t>FUNGSI RACK OUT RACK IN</t>
  </si>
  <si>
    <t>PERAWATAN BAGIAN EXTERNAL ENCLOSURE MCC</t>
  </si>
  <si>
    <t>PERAWATAN KOMPARTEMEN BUSBAR</t>
  </si>
  <si>
    <t>PENGUJIAN TAHANAN ISOLASI BUSBAR *)sudah termasuk busbar dan busduct</t>
  </si>
  <si>
    <t>PENGUJIAN TAHANAN KONTAK BUSBAR</t>
  </si>
  <si>
    <t>PERAWATAN KOMPARTEMEN KABEL</t>
  </si>
  <si>
    <t>PERAWATAN KOMPARTEMEN MARSHALLING PANEL</t>
  </si>
  <si>
    <t>PERAWATAN KOMPARTEMEN TRAFO KONTROL</t>
  </si>
  <si>
    <t>PERAWATAN KOMPARTEMEN SOOTBLOWER MCC FEEDER</t>
  </si>
  <si>
    <t>PERAWATAN KOMPARTEMEN TG MCC FEEDER</t>
  </si>
  <si>
    <t>PERAWATAN KOMPARTEMEN ADAPTER PANEL</t>
  </si>
  <si>
    <t>PENGUJIAN TAHANAN KONTAK BUSDUCT BUSTIE</t>
  </si>
  <si>
    <t>PERAWATAN ACB INCOMMING</t>
  </si>
  <si>
    <t>PENGUJIAN TAHANAN ISOLASI ACB INCOMMING</t>
  </si>
  <si>
    <t>PENGUJIAN TAHANAN KONTAK ACB INCOMMING</t>
  </si>
  <si>
    <t>PENGUJIAN ANALISA CB</t>
  </si>
  <si>
    <t>PERAWATAN ACB ESP FEEDER</t>
  </si>
  <si>
    <t>PENGUJIAN TAHANAN ISOLASI ACB ESP FEEDER</t>
  </si>
  <si>
    <t>PENGUJIAN TAHANAN KONTAK ACB ESP FEEDER</t>
  </si>
  <si>
    <t>PENGUJIAN ANALISA CB ESP FEEDER</t>
  </si>
  <si>
    <t>PERAWATAN ACB BOILER FEEDER</t>
  </si>
  <si>
    <t>PENGUJIAN TAHANAN KONTAK ACB BOILER FEEDER</t>
  </si>
  <si>
    <t>PENGUJIAN ANALISA CB BOILER FEEDER</t>
  </si>
  <si>
    <t>PERAWATAN ACB COOLING TOWER MCC FEEDER</t>
  </si>
  <si>
    <t>PENGUJIAN TAHANAN ISOLASI ACB COOLING TOWER FEEDER</t>
  </si>
  <si>
    <t>PENGUJIAN TAHANAN KONTAK ACB COOLING TOWER FEEDER</t>
  </si>
  <si>
    <t>PENGUJIAN ANALISA CB COOLING TOWER FEEDER</t>
  </si>
  <si>
    <t>PENGUJIAN TAHANAN ISOLASI BUSBAR</t>
  </si>
  <si>
    <t>PERAWATAN MODULE WITHDRAWABLE</t>
  </si>
  <si>
    <t>PENGUJIAN TAHANAN ISOLASI ACB INCOMING</t>
  </si>
  <si>
    <t>PENGUJIAN TAHANAN KONTAK ACB</t>
  </si>
  <si>
    <t>GLAND STEAM CONDENSER VENTING MOTOR</t>
  </si>
  <si>
    <t>GENERAL CLEANING</t>
  </si>
  <si>
    <t>OM Y1 EIC UNIT 2 CONVECTIVE PASS</t>
  </si>
  <si>
    <t xml:space="preserve">INLET BACKPASS PRESSURE TRANSMITTER   </t>
  </si>
  <si>
    <t xml:space="preserve">BACKPASS PRESSURE AFTER LT SH TRANSMITTER </t>
  </si>
  <si>
    <t xml:space="preserve">BACKPASS PRESSURE AFTER ECO TRANSMITTER  </t>
  </si>
  <si>
    <t>OM Y1 EIC UNIT 2 FLY ASH HANDLING</t>
  </si>
  <si>
    <t>Panel Bapcon - Rapcon Field 1</t>
  </si>
  <si>
    <t>Panel Bapcon - Rapcon Field 2</t>
  </si>
  <si>
    <t>Panel Bapcon - Rapcon Field 3</t>
  </si>
  <si>
    <t>Panel Bapcon - Rapcon Field 4</t>
  </si>
  <si>
    <t>Panel Bapcon - Rapcon Field 5</t>
  </si>
  <si>
    <t>Panel Bapcon - Rapcon Field 6</t>
  </si>
  <si>
    <t xml:space="preserve"> OM EIC Y1 UNIT COMMON COOLING TOWER FAN 1</t>
  </si>
  <si>
    <t xml:space="preserve"> OM EIC Y1 UNIT COMMON COOLING TOWER FAN 2</t>
  </si>
  <si>
    <t xml:space="preserve"> OM EIC Y1 UNIT COMMON MAIN COOLING WATER PUMP 1</t>
  </si>
  <si>
    <t xml:space="preserve"> OM EIC Y1 UNIT COMMON MAIN COOLING WATER PUMP 2</t>
  </si>
  <si>
    <t>PROGRESS JOBS OUTAGE UNIT 1</t>
  </si>
  <si>
    <t xml:space="preserve"> OM EIC Y1 UNIT 1 INDUCED DRAUGHT FAN 1</t>
  </si>
  <si>
    <t>UNIT 1 INDUCED DRAUGHT FAN 1 INLET GATE ACTUATOR MOV 20HNA61AA001</t>
  </si>
  <si>
    <t>UNIT 1 INDUCED DRAUGHT FAN 1 OUTLET GATE ACTUATOR MOV 20HNA71AA001</t>
  </si>
  <si>
    <t>MSW20HNC10-M103:UNIT 1 INDUCED DRAUGHT FAN 1 MOTOR</t>
  </si>
  <si>
    <t xml:space="preserve"> OM EIC Y1 UNIT 1 INDUCED DRAUGHT FAN 2</t>
  </si>
  <si>
    <t>UNIT 1 INDUCED DRAUGHT FAN 2 INLET ACTUATOR MOV 20HNA62AA001</t>
  </si>
  <si>
    <t>UNIT 1 INDUCED DRAUGHT FAN 2 OUTLET ACTUATOR MOV 20HNA72AA001</t>
  </si>
  <si>
    <t>MSW20HNC10-M203:UNIT 1 INDUCED DRAUGHT FAN 2 MOTOR</t>
  </si>
  <si>
    <t xml:space="preserve"> OM EIC Y1 UNIT 1 PRIMARY AIR FAN 1</t>
  </si>
  <si>
    <t>UNIT 1 PRIMARY AIR FAN 1 IGV </t>
  </si>
  <si>
    <t xml:space="preserve">UNIT 1 PRIMARY AIR FAN 1 OUTLET MOV </t>
  </si>
  <si>
    <t xml:space="preserve"> OM EIC Y1 UNIT 1 PRIMARY AIR FAN 1 LUBE OIL SYSTEM</t>
  </si>
  <si>
    <t>MSW20HLN20-M101:UNIT 1 PRIMARY AIR FAN 1 LUBE OIL PUMP 1 MOTOR (STAND BY)</t>
  </si>
  <si>
    <t>MSW20HLN20-M102:UNIT 1 PRIMARY AIR FAN 1 LUBE OIL PUMP 2 MOTOR (MAIN)</t>
  </si>
  <si>
    <t xml:space="preserve"> OM EIC Y1 UNIT 1 PRIMARY AIR FAN 2</t>
  </si>
  <si>
    <t>UNIT 1 PRIMARY AIR FAN 2 IGV </t>
  </si>
  <si>
    <t>MSW20HLB20AA202:UNIT 1 PRIMARY AIR FAN 2 OUTLET MOV</t>
  </si>
  <si>
    <t xml:space="preserve"> OM EIC Y1 UNIT 1 PRIMARY AIR FAN 2 LUBE OIL SYSTEM</t>
  </si>
  <si>
    <t>MSW20HLN20-M201:UNIT 1 PRIMARY AIR FAN 2 LUBE OIL PUMP 1 MOTOR (STAND BY)</t>
  </si>
  <si>
    <t>MSW20HLN20-M202:UNIT 1 PRIMARY AIR FAN 2 LUBE OIL PUMP 2 MOTOR (MAIN)</t>
  </si>
  <si>
    <t>MSW20HLN20CL201:UNIT 1 PRIMARY AIR FAN 2 LUBE OIL TANK LEVEL SWITCH</t>
  </si>
  <si>
    <t xml:space="preserve"> OM EIC Y1 UNIT 1 SECONDARY AIR FAN 1</t>
  </si>
  <si>
    <t xml:space="preserve">UNIT 1 SECONDARY AIR FAN 1 OUTLET MOV </t>
  </si>
  <si>
    <t>UNIT 1 SECONDARY AIR FAN 1 IGV SA FAN 1 20HLB01EX001</t>
  </si>
  <si>
    <t xml:space="preserve"> OM EIC Y1 UNIT 1 SECONDARY AIR FAN 1 LUBE OIL SYSTEM</t>
  </si>
  <si>
    <t>MSW20HLN10-M101:UNIT 1 SECONDARY AIR FAN 1 LUBE OIL PUMP 1 MOTOR (STAND BY)</t>
  </si>
  <si>
    <t>MSW20HLN10-M102:UNIT 1 SECONDARY AIR FAN 1 LUBE OIL PUMP 2 MOTOR (MAIN)</t>
  </si>
  <si>
    <t xml:space="preserve"> OM EIC Y1 UNIT 1 SECONDARY AIR FAN 2</t>
  </si>
  <si>
    <t xml:space="preserve"> OM EIC Y1 UNIT 1 SECONDARY AIR FAN 2 LUBE OIL SYSTEM</t>
  </si>
  <si>
    <t>MSW20HLN10-M201:UNIT 1 SECONDARY AIR FAN 2 LUBE OIL PUMP 1 MOTOR (STAND BY)</t>
  </si>
  <si>
    <t>MSW20HLN10-M202:UNIT 1 SECONDARY AIR FAN 2 LUBE OIL PUMP 2 MOTOR (MAIN)</t>
  </si>
  <si>
    <t xml:space="preserve"> OM EIC Y1 UNIT 1 COAL FEEDER NO 1</t>
  </si>
  <si>
    <t xml:space="preserve"> OM EIC Y1 UNIT 1 COAL FEEDER NO 2</t>
  </si>
  <si>
    <t xml:space="preserve"> OM EIC Y1 UNIT 1 LDO START-UP BURNER 1</t>
  </si>
  <si>
    <t xml:space="preserve"> OM EIC Y1 UNIT 1 LDO START-UP BURNER 2</t>
  </si>
  <si>
    <t xml:space="preserve"> OM EIC Y1 UNIT 1 SEALPOT BLOWER NO 1</t>
  </si>
  <si>
    <t xml:space="preserve"> OM EIC Y1 UNIT 1 SEALPOT BLOWER NO 2</t>
  </si>
  <si>
    <t xml:space="preserve"> OM EIC Y1 UNIT 1 ELECTROSTATIC PRECIPITATOR 1-6</t>
  </si>
  <si>
    <t>MSW20HDE10-M101:UNIT 1 ESP RAPPING MOTOR (GDRM)</t>
  </si>
  <si>
    <t>MSW20HDE10-M102:UNIT 1 ESP RAPPING MOTOR (CERM-1)</t>
  </si>
  <si>
    <t>MSW20HDE10-M103:UNIT 1 ESP RAPPING MOTOR (CERM-2)</t>
  </si>
  <si>
    <t>MSW20HDE10-M104:UNIT 1 ESP RAPPING MOTOR (CERM-3)</t>
  </si>
  <si>
    <t>MSW20HDE10-M105:UNIT 1 ESP RAPPING MOTOR (CERM-4)</t>
  </si>
  <si>
    <t>MSW20HDE10-M106:UNIT 1 ESP RAPPING MOTOR (CERM-5)</t>
  </si>
  <si>
    <t>MSW20HDE10-M107:UNIT 1 ESP RAPPING MOTOR (CERM-6)</t>
  </si>
  <si>
    <t>MSW20HDE10-M108:UNIT 1 ESP RAPPING MOTOR (EERM-1)</t>
  </si>
  <si>
    <t>MSW20HDE10-M109:UNIT 1 ESP RAPPING MOTOR (EERM-2)</t>
  </si>
  <si>
    <t>MSW20HDE10-M110:UNIT 1 ESP RAPPING MOTOR (EERM-3)</t>
  </si>
  <si>
    <t>MSW20HDE10-M120:UNIT 1 ESP RAPPING MOTOR (EERM-4)</t>
  </si>
  <si>
    <t>MSW20HDE10-M130:UNIT 1 ESP RAPPING MOTOR (EERM-5)</t>
  </si>
  <si>
    <t>MSW20HDE10-M140:UNIT 1 ESP RAPPING MOTOR (EERM-6)</t>
  </si>
  <si>
    <t>UNIT 1 ESP TRAFO 1 (GENERAL CLEANING, INSPEKSI, IR TEST)</t>
  </si>
  <si>
    <t>UNIT 1 ESP TRAFO 2 (GENERAL CLEANING, INSPEKSI, IR TEST)</t>
  </si>
  <si>
    <t>UNIT 1 ESP TRAFO 3 (GENERAL CLEANING, INSPEKSI, IR TEST)</t>
  </si>
  <si>
    <t>UNIT 1 ESP TRAFO 4 (GENERAL CLEANING, INSPEKSI, IR TEST)</t>
  </si>
  <si>
    <t>UNIT 1 ESP TRAFO 5 (GENERAL CLEANING, INSPEKSI, IR TEST)</t>
  </si>
  <si>
    <t>UNIT 1 ESP TRAFO 6 (GENERAL CLEANING, INSPEKSI, IR TEST)</t>
  </si>
  <si>
    <t xml:space="preserve"> OM EIC Y1 UNIT 1 BOILER FEED PUMP 1</t>
  </si>
  <si>
    <t>MSW20LAC10AA104:UNIT 1 BOILER FEED PUMP 1 VALVE FOR PRESSURE DIFFERENTIAL SWITCH</t>
  </si>
  <si>
    <t>MSW20LAC10AA105:UNIT 1 BOILER FEED PUMP 1 VALVE FOR PRESSURE DIFFERENTIAL SWITCH</t>
  </si>
  <si>
    <t>MSW20LAC10CG101:UNIT 1 BOILER FEED PUMP 1 LIMIT SWITCH</t>
  </si>
  <si>
    <t>20LAC10CP101:UNIT 1 BOILER FEED PUMP 1 PRESSURE DIFFERENTIAL SWITCH</t>
  </si>
  <si>
    <t>MSW20LAC10CT101:UNIT 1 BOILER FEED PUMP 1 R PHASE WDG TEMPERATURE</t>
  </si>
  <si>
    <t>MSW20LAC10CT102:UNIT 1 BOILER FEED PUMP 1 B PHASE WDG TEMPERATURE</t>
  </si>
  <si>
    <t>MSW20LAC10CT103:UNIT 1 BOILER FEED PUMP 1 B PHASE WDG TEMPERATURE</t>
  </si>
  <si>
    <t>MSW20LAC10CT104:UNIT 1 BOILER FEED PUMP 1 B NDE MOTOR BEARING TEMPERATURE</t>
  </si>
  <si>
    <t>MSW20LAC10CT105:UNIT 1 BOILER FEED PUMP 1 B NDE MOTOR BEARING TEMPERATURE</t>
  </si>
  <si>
    <t>MSW20LAC10CT106:UNIT 1 BOILER FEED PUMP 1 B NDE PUMP BEARING TEMPERATURE</t>
  </si>
  <si>
    <t>MSW20LAC10CT107:UNIT 1 BOILER FEED PUMP 1 B NDE PUMP BEARING TEMPERATURE</t>
  </si>
  <si>
    <t>MSW20LAC10GH101:UNIT 1 BOILER FEED PUMP 1 FCMA PANEL</t>
  </si>
  <si>
    <t xml:space="preserve"> OM EIC Y1 UNIT 1 BOILER FEED PUMP 2</t>
  </si>
  <si>
    <t>MSW20LAC10AA204:UNIT 1 BOILER FEED PUMP 2 VALVE FOR PRESSURE DIFFERENTIAL SWITCH</t>
  </si>
  <si>
    <t>MSW20LAC10AA205:UNIT 1 BOILER FEED PUMP 2 VALVE FOR PRESSURE DIFFERENTIAL SWITCH</t>
  </si>
  <si>
    <t>MSW20LAC10CG201:UNIT 1 BOILER FEED PUMP 2 LIMIT SWITCH</t>
  </si>
  <si>
    <t>MSW20LAC10CP201:UNIT 1 BOILER FEED PUMP 2 PRESSURE DIFFERENTIAL SWITCH</t>
  </si>
  <si>
    <t>MSW20LAC10CT201:UNIT 1 BOILER FEED PUMP 2 R PHASE WDG TEMPERATURE</t>
  </si>
  <si>
    <t>MSW20LAC10CT202:UNIT 1 BOILER FEED PUMP 2 B PHASE WDG TEMPERATURE</t>
  </si>
  <si>
    <t>MSW20LAC10CT203:UNIT 1 BOILER FEED PUMP 2 B PHASE WDG TEMPERATURE</t>
  </si>
  <si>
    <t>MSW20LAC10CT204:UNIT 1 BOILER FEED PUMP 2 B NDE MOTOR BEARING TEMPERATURE</t>
  </si>
  <si>
    <t>MSW20LAC10CT205:UNIT 1 BOILER FEED PUMP 2 B NDE MOTOR BEARING TEMPERATURE</t>
  </si>
  <si>
    <t>MSW20LAC10CT206:UNIT 1 BOILER FEED PUMP 2 B NDE PUMP BEARING TEMPERATURE</t>
  </si>
  <si>
    <t>MSW20LAC10CT207:UNIT 1 BOILER FEED PUMP 2 B NDE PUMP BEARING TEMPERATURE</t>
  </si>
  <si>
    <t>MSW20LAC10GH201:UNIT 1 BOILER FEED PUMP 2 FCMA PANEL</t>
  </si>
  <si>
    <t xml:space="preserve"> OM EIC Y1 UNIT 1 FEED WATER LINE</t>
  </si>
  <si>
    <t>UNIT 1 FEED WATER INLET ECONOMIZER MOTORIZED VALVE ISOLATION VALVE</t>
  </si>
  <si>
    <t xml:space="preserve"> OM EIC Y1 UNIT 1 DESH SUPERHEATER LINE 1</t>
  </si>
  <si>
    <t xml:space="preserve"> OM EIC Y1 UNIT 1 DESH SUPERHEATER LINE 2</t>
  </si>
  <si>
    <t>OM EIC Y1 UNIT 1 GENERATOR CIRCUIT BREAKER</t>
  </si>
  <si>
    <t xml:space="preserve"> OM EIC Y1 UNIT 1 GENERATOR</t>
  </si>
  <si>
    <t xml:space="preserve"> OM EIC Y1 UNIT 1 AUXILIARY TRANSFORMER 2</t>
  </si>
  <si>
    <t xml:space="preserve"> OM EIC Y1 UNIT 1 6.6KV MEDIUM VOLTAGE STATION BOARDS PANEL</t>
  </si>
  <si>
    <t>MSW20BBA10GS101:UNIT 1 SWITCHGEAR 6.6KV INCOMING PANEL (MV UAT 2 CB9)</t>
  </si>
  <si>
    <t>MSW20BBA10GS102:UNIT 1 SWITCHGEAR 6,6KV UNIT 1 OUTGOING FEEDER 1 PA FAN 1</t>
  </si>
  <si>
    <t>MSW20BBA10GS103:UNIT 1 SWITCHGEAR 6,6KV UNIT 1 OUTGOING FEEDER 2 PA FAN 2</t>
  </si>
  <si>
    <t>MSW20BBA10GS104:UNIT 1 SWITCHGEAR 6,6KV UNIT 1 OUTGOING FEEDER 3 SA FAN 1</t>
  </si>
  <si>
    <t>MSW20BBA10GS105:UNIT 1 SWITCHGEAR 6,6KV UNIT 1 OUTGOING FEEDER 4 SA FAN 2</t>
  </si>
  <si>
    <t>MSW20BBA10GS106:UNIT 1 SWITCHGEAR 6,6KV UNIT 1 OUTGOING FEEDER 5 ID FAN 1</t>
  </si>
  <si>
    <t>MSW20BBA10GS107:UNIT 1 SWITCHGEAR 6,6KV UNIT 1 OUTGOING FEEDER 6 ID FAN 2</t>
  </si>
  <si>
    <t>MSW20BBA10GS108:UNIT 1 SWITCHGEAR 6,6KV UNIT 1 OUTGOING FEEDER 8 BF PUMP 1</t>
  </si>
  <si>
    <t>MSW20BBA10GS109:UNIT 1 SWITCHGEAR 6,6KV UNIT 1 OUTGOING FEEDER 9 BF PUMP 2</t>
  </si>
  <si>
    <t>MSW20BBA10GS110:UNIT 1 SWITCHGEAR 6,6KV UNIT 1 OUTGOING FEEDER 7 CW PUMP 3</t>
  </si>
  <si>
    <t>MSW20BBA10GS111:UNIT 1 SWITCHGEAR 6,6KV UNIT 1 OUTGOING FEEDER 11 CW PUMP 4</t>
  </si>
  <si>
    <t>MSW20BBA10GS112:UNIT 1 SWITCHGEAR 6,6KV UNIT 1 OUTGOING FEEDER 12 CW PUMP 5</t>
  </si>
  <si>
    <t>MSW20BBA10GS113:UNIT 1 SWITCHGEAR 6,6KV UNIT 1 TRAFO FEEDER</t>
  </si>
  <si>
    <t>UNIT 1 SWITCHGEAR 6,6KV UNIT 1 ADAPTER</t>
  </si>
  <si>
    <t>MSW20BBA10GS114:UNIT 1 SWITCHGEAR 6,6KV METERING (L10)</t>
  </si>
  <si>
    <t xml:space="preserve"> OM EIC Y1 UNIT 1 MEDIUM VOLTAGE STATION BOARDS COMMON</t>
  </si>
  <si>
    <t>SWITCHGEAR 6,6KV UNIT 1 INCOMMING GENERATOR 1</t>
  </si>
  <si>
    <t>SWITCHGEAR 6,6KV UNIT 1 INCOMMING GENERATOR 2</t>
  </si>
  <si>
    <t>SWITCHGEAR 6,6KV UNIT 1 INCOMMING GENERATOR 3</t>
  </si>
  <si>
    <t>SWITCHGEAR 6,6KV UNIT 1 INCOMMING GENERATOR 4</t>
  </si>
  <si>
    <t>SWITCHGEAR 6,6KV UNIT 1  OUTGOING TRAFO 1</t>
  </si>
  <si>
    <t>SWITCHGEAR 6,6KV UNIT 1  OUTGOING TRAFO 2</t>
  </si>
  <si>
    <t>OM EIC Y1 UNIT 1 MAIN TURBINE</t>
  </si>
  <si>
    <t>ACTUATOR MOV TURBINE STOP VALVE UNIT 1</t>
  </si>
  <si>
    <t>MSW20MAA10CP302 : UNIT 1 TURBINE BEHIND CONTROL STAGE PRESSURE TRANSMITTER  (20MAA10CP001)</t>
  </si>
  <si>
    <t>MSW20MAA10CP303 : UNIT 1 TURBINE EXHAUST PRESSURE TRANSMITTER (20MAA10CP002)</t>
  </si>
  <si>
    <t>MSW20MAA10CP304 : UNIT 1 TURBINE EXHAUST PRESSURE TRANSMITTER  (20MAA10CP003)</t>
  </si>
  <si>
    <t>MSW20MAA10CP305 : UNIT 1 TURBINE EXHAUST PRESSURE TRANSMITTER  (20MAA10CP004)</t>
  </si>
  <si>
    <t>MSW20MAA10CP306 : UNIT 1 TURBINE BEHIND CONTROL STAGE PRESSURE TRANSMITTER  (20MAA10CP005)</t>
  </si>
  <si>
    <t xml:space="preserve"> OM EIC 1Y FIRE ALARM LOCAL PANEL ( UNIT 1 )</t>
  </si>
  <si>
    <t xml:space="preserve"> OM EIC 1Y UNIT 1 PRIMARY AIR FAN LINE</t>
  </si>
  <si>
    <t xml:space="preserve"> OM EIC 1Y UNIT 1 SECONDARY AIR FAN LINE</t>
  </si>
  <si>
    <t>UNIT 1 SECONDARY AIR FAN IGV SUB 1 20HJL10AA010</t>
  </si>
  <si>
    <t>UNIT 1 SECONDARY AIR FAN IGV SUB 2 20HJL11AA010</t>
  </si>
  <si>
    <t>UNIT 1 SECONDARY AIR FAN IGV SA CONTROL DAMPER 20HLA25AA010</t>
  </si>
  <si>
    <t xml:space="preserve"> OM EIC Y1 UNIT 1 BOILER DISTRIBUTED CONTROL PANEL</t>
  </si>
  <si>
    <t xml:space="preserve"> OM EIC Y1 UNIT 1 BOILER DRUM</t>
  </si>
  <si>
    <t xml:space="preserve"> OM EIC Y1 UNIT 1 COMBUSTOR</t>
  </si>
  <si>
    <t xml:space="preserve"> OM EIC Y1 UNIT 1 CYCLONE</t>
  </si>
  <si>
    <t xml:space="preserve">MSW20HDF10CP102 : UNIT 1 BACKPASS INLET PRESSURE  </t>
  </si>
  <si>
    <t xml:space="preserve">MSW20HDF10CT101 : UNIT 1 BACKPASS INLET TEMPERATURE   </t>
  </si>
  <si>
    <t xml:space="preserve">MSW20HDF10CT103 : UNIT 1 BACKPASS INLET TEMPERATURE  </t>
  </si>
  <si>
    <t xml:space="preserve">MSW20HDF10CT104 : UNIT 1 CYCLONE INLET TEMPERATURE  </t>
  </si>
  <si>
    <t xml:space="preserve"> OM EIC Y1 UNIT 1 SEALPOT</t>
  </si>
  <si>
    <t xml:space="preserve"> OM EIC Y1 UNIT 1 SUPERHEATER SYSTEM LINE</t>
  </si>
  <si>
    <t xml:space="preserve"> OM EIC Y1 UNIT 1 JACKING OIL PUMP</t>
  </si>
  <si>
    <t xml:space="preserve">MSW20MAV10-M101 : UNIT 1 JACKING OIL PUMP MOTOR  </t>
  </si>
  <si>
    <t xml:space="preserve">MSW20MAV10CP101 : UNIT 1 JACKING OIL PRESSURE TRANSMITTER  </t>
  </si>
  <si>
    <t xml:space="preserve"> OM EIC Y1 UNIT 1 MAIN OIL PUMP</t>
  </si>
  <si>
    <t xml:space="preserve"> OM EIC Y1 UNIT 1 TURBINE CONTROL VALVE</t>
  </si>
  <si>
    <t xml:space="preserve"> OM EIC Y1 UNIT 1 HP BYPASS VALVE</t>
  </si>
  <si>
    <t xml:space="preserve">MSW20LBF10CG101 : UNIT 1 STEAM BYPASS REDUCING CONTROL VALVE PRESSURE TRANSMITTER  </t>
  </si>
  <si>
    <t xml:space="preserve">MSW20LBF10CT101 : UNIT 1 STEAM BYPASS REDUCING TEMPERATURE TRANSMITTER  </t>
  </si>
  <si>
    <t xml:space="preserve"> OM EIC Y1 UNIT 1 TURBINE DRAINAGE MAIN HEADER LINE TO EXPANSION TUBE</t>
  </si>
  <si>
    <t xml:space="preserve"> OM EIC Y1 UNIT 1 VACUUM PUMP A</t>
  </si>
  <si>
    <t>MSW20MAJ10-M102 : UNIT 1 VACUUM PUMP A MOTOR  (MEGGER, INSPEKSI TERMINAL BLOK, DAN SISTEM COOLING MOTOR)</t>
  </si>
  <si>
    <t xml:space="preserve">MSW20MAJ10AA101 : UNIT 1 AIR REMOVAL SYSTEM VACUUM BREAKER SOLENOID VALVE  </t>
  </si>
  <si>
    <t xml:space="preserve">MSW20MAJ10CG101 : UNIT 1 AIR REMOVAL SYSTEM POSITION TRANSMITTER  </t>
  </si>
  <si>
    <t xml:space="preserve"> OM EIC Y1 UNIT 1 VACUUM PUMP B</t>
  </si>
  <si>
    <t>MSW20MAJ10-M202  : UNIT 1 VACUUM PUMP B MOTOR  (MEGGER, INSPEKSI TERMINAL BLOK, DAN SISTEM COOLING MOTOR)</t>
  </si>
  <si>
    <t xml:space="preserve">MSW20MAJ10AA201 : UNIT 1 AIR REMOVAL SYSTEM VACUUM BREAKER SOLENOID VALVE  </t>
  </si>
  <si>
    <t xml:space="preserve">MSW20MAJ10CG201 : UNIT 1 AIR REMOVAL SYSTEM POSITION TRANSMITTER  </t>
  </si>
  <si>
    <t xml:space="preserve"> OM EIC Y1 UNIT 1 CONDENSER</t>
  </si>
  <si>
    <t xml:space="preserve"> OM EIC Y1 UNIT 1 MAIN CONDENSATE PUMP A</t>
  </si>
  <si>
    <t xml:space="preserve"> OM EIC Y1 UNIT 1 MAIN CONDENSATE PUMP B</t>
  </si>
  <si>
    <t xml:space="preserve"> OM EIC Y1 UNIT 1 GENERATOR CONTROL PANEL</t>
  </si>
  <si>
    <t xml:space="preserve"> OM EIC Y1 UNIT 1 GENERATOR EXCITATION PANEL</t>
  </si>
  <si>
    <t xml:space="preserve"> OM EIC Y1 UNIT 1 SOOT BLOWER</t>
  </si>
  <si>
    <t xml:space="preserve"> OM EIC Y1 UNIT 1 TURBINE CONTROL PANEL</t>
  </si>
  <si>
    <t xml:space="preserve"> OM EIC Y1 UNIT 1 LV DISTRIBUTION</t>
  </si>
  <si>
    <t xml:space="preserve"> OM EIC Y1 UNIT 1 380V MCC SWICTHGEAR BOILER</t>
  </si>
  <si>
    <t xml:space="preserve"> OM EIC Y1 UNIT 1 380V MCC SWICTHGEAR TG</t>
  </si>
  <si>
    <t xml:space="preserve"> OM EIC Y1 UNIT 1 380V MCC SWICTHGEAR ESP</t>
  </si>
  <si>
    <t>OM Y1 EIC UNIT 1 GLAND STEAM SEALING CONDENSER</t>
  </si>
  <si>
    <t xml:space="preserve"> OM EIC Y1 UNIT COMMON AUXILIARY COOLING WATER PUMP 1</t>
  </si>
  <si>
    <t xml:space="preserve"> OM EIC Y1 UNIT COMMON AUXILIARY COOLING WATER PUMP 2</t>
  </si>
  <si>
    <t>WO-100826-0012</t>
  </si>
  <si>
    <t>WO-100826-0013</t>
  </si>
  <si>
    <t>WO-100826-0014</t>
  </si>
  <si>
    <t>WO-100826-0015</t>
  </si>
  <si>
    <t>WO-100826-0016</t>
  </si>
  <si>
    <t>WO-100826-0017</t>
  </si>
  <si>
    <t>WO-100826-0020</t>
  </si>
  <si>
    <t>WO-100826-0021</t>
  </si>
  <si>
    <t>WO-100826-0022</t>
  </si>
  <si>
    <t>WO-100826-0160</t>
  </si>
  <si>
    <t>WO-100826-0161</t>
  </si>
  <si>
    <t>SOLO RUN</t>
  </si>
  <si>
    <t xml:space="preserve">UNIT 1 SECONDARY AIR FAN 2 OUTLET MOV </t>
  </si>
  <si>
    <t xml:space="preserve">LIMESTONE GATE VALVE </t>
  </si>
  <si>
    <t>UNIT 1 INDUCED DRAUGHT FAN 1 IGV 10HNC01EX001</t>
  </si>
  <si>
    <t xml:space="preserve">INLET ID FAN 1 PRESSURE TRANSMITTER 10HNA61CP001  </t>
  </si>
  <si>
    <t xml:space="preserve">INLET PRESSURE ESP PRESSURE TRANSMITTER 10HNA41CP001  </t>
  </si>
  <si>
    <t xml:space="preserve">OUTLET PRESSURE ESP PRESSURE TRANSMITTER 10HNA41CP002  </t>
  </si>
  <si>
    <t>UNIT 1 INDUCED DRAUGHT FAN 2 IGV 10HNC01EX002</t>
  </si>
  <si>
    <t xml:space="preserve">INLET ID FAN 2 PRESSURE TRANSMITTER 10HNA62CP001  </t>
  </si>
  <si>
    <t xml:space="preserve">PA FAN 1 OUTLET PRESSURE TRANSMITTER 10HLB03CP001 </t>
  </si>
  <si>
    <t xml:space="preserve">PA FAN 2 OUTLET PRESSURE TRANSMITTER 10HLB04CP001 </t>
  </si>
  <si>
    <t>SA FAN 1 OUTLET PRESSURE TRANSMITTER 10HLB01CP001</t>
  </si>
  <si>
    <t>UNIT 1 IGV SA FAN 2 10HLB01EX001</t>
  </si>
  <si>
    <t xml:space="preserve">SA FAN 2 OUTLET PRESSURE TRANSMITTER 10HLB02CP001 </t>
  </si>
  <si>
    <t xml:space="preserve">INSPECTION OF MFT ACTUATOR 10HHE11AA01  </t>
  </si>
  <si>
    <t xml:space="preserve">INSPECTION OF MFT ACTUATOR 10HHE12AA01  </t>
  </si>
  <si>
    <t xml:space="preserve">LDO PRESSURE BEFORE MTV SWITCH 10HJF11CP301  </t>
  </si>
  <si>
    <t xml:space="preserve">ATOM AIR INLET PRESSURE LOW SWITCH 10HJN11CP301  </t>
  </si>
  <si>
    <t xml:space="preserve">LDO PRESSURE LOW TRIP FOR SUB 1 SWITCH 10HJF11CP302  </t>
  </si>
  <si>
    <t xml:space="preserve">ATOM AIR PRESSURE LOW TRIP FOR SUB 1 SWITCH 10HJN11CP302  </t>
  </si>
  <si>
    <t xml:space="preserve">LDO PRESSURE HIGH TRIP FOR SUB 1 SWITCH 10HJF11CP303  </t>
  </si>
  <si>
    <t xml:space="preserve">SCANNER AIR PRESSURE OK 1 SWITCH 10HJG69CP301  </t>
  </si>
  <si>
    <t xml:space="preserve">SCANNER AIR PRESSURE OK 2 SWITCH 10HJG69CP302  </t>
  </si>
  <si>
    <t xml:space="preserve">ACTUATOR SUB BURNER 1 VALVE 10HJN11AA003  </t>
  </si>
  <si>
    <t>ATOM AIR PRESSURE AFTER SUB 1 TRANSMITTER 10HJN11CP001</t>
  </si>
  <si>
    <t>LDO PRESS AFTER SUB1 FVC TRANSMITTER 10HJF11CP001</t>
  </si>
  <si>
    <t xml:space="preserve">LDO PRESSURE LOW TRIP FOR SUB 2 SWITCH 10HJF12CP302  </t>
  </si>
  <si>
    <t xml:space="preserve">ATOM AIR PRESSURE LOW TRIP FOR SUB 2 SWITCH 10HJN12CP302  </t>
  </si>
  <si>
    <t xml:space="preserve">LDO PRESSURE HIGH TRIP FOR SUB 2 SWITCH 10HJF12CP303  </t>
  </si>
  <si>
    <t>ATOM AIR PRESSURE AFTER SUB 2 TRANSMITTER 10HJN12CP001</t>
  </si>
  <si>
    <t>LDO PRESS AFTER SUB2 FCV TRANSMITTER 10HJF12CP001</t>
  </si>
  <si>
    <t xml:space="preserve">ACTUATOR SUB BURNER 2 VALVE 10HJN12AA003  </t>
  </si>
  <si>
    <t>SEALPOT BLOWER PRESS OUTLET TRANSMITTER 10HLB41CP001</t>
  </si>
  <si>
    <t xml:space="preserve">P&amp;S BLOWER PRESS OUTLET TRANSMITTER 10QEB20CP001 </t>
  </si>
  <si>
    <t>UNIT 1 FEED WATER INLET ECONOMIZER MOTORIZED VALVE MOTOR 100% 10LAB30AA220</t>
  </si>
  <si>
    <t>UNIT 1 FEED WATER INLET ECONOMIZER MOTORIZED VALVE MOTOR 30% 10LAB30AA210</t>
  </si>
  <si>
    <t xml:space="preserve">ACTUATOR BFP SPRAY LINE (FEED WATER) TO DEAERATOR PRDS I/L CV 10LAE10AA210  </t>
  </si>
  <si>
    <t xml:space="preserve">BFP SPRAY LINE (FEED WATER) TO DEAERATOR PRDS I/L MOV 10LAE10AA110  </t>
  </si>
  <si>
    <t xml:space="preserve">DISTRIBUTOR LINE TO FEEDWATER TRANSMITTER 10LAB30CP001 </t>
  </si>
  <si>
    <t>INLET FEEDWATER PRESSURE TRANSMITTER 10HAC90CP001</t>
  </si>
  <si>
    <t>INLET FEEDWATER FLOW TRANSMITTER 10HAC90CF001</t>
  </si>
  <si>
    <t>INLET FEEDWATER FLOW TRANSMITTER 10HAC90CF002</t>
  </si>
  <si>
    <t>CALIBRATION/FUNCTION TEST SPRAY CONTROL VALVE 10LAE10EX001</t>
  </si>
  <si>
    <t>DESH 1 SPRAY WATER FLOW TRANSMITTER 10LAE20CF001</t>
  </si>
  <si>
    <t>DESH 2 SPRAY WATER FLOW TRANSMITTER 10LAE30CF001</t>
  </si>
  <si>
    <t>CALIBRATION/FUNCTION TEST SPRAY CONTROL VALVE 10LAE12EX001</t>
  </si>
  <si>
    <t>BEFORE DESH 2 TEMP TRANSMITTER CALIBRATION  (20HAH46CT001, 10HAH36CT009, 10HAH36CT009)</t>
  </si>
  <si>
    <t xml:space="preserve">ACTUATOR TURBINE EXTRACTION III TO DEAERATOR CV 10LBD20AA210  </t>
  </si>
  <si>
    <t xml:space="preserve">TURBINE CASING TEMPERATURE - INSIDE TRANSMITTER 10MAA10CT012  </t>
  </si>
  <si>
    <t xml:space="preserve">TURBINE CASING TEMPERATURE - CENTER TRANSMITTER 10MAA10CT013  </t>
  </si>
  <si>
    <t xml:space="preserve">DEAERATOR PRDS OUTLET TO EXTRACTION I - DEAERATOR I/L TEMP TRANSMITTER 10LBD11CT002  </t>
  </si>
  <si>
    <t xml:space="preserve">DEAERATOR PRDS OUTLET TO EXTRACTION I - DEAERATOR I/L TEMP TRANSMITTER 10LBD11CT001 </t>
  </si>
  <si>
    <t xml:space="preserve">DEAERATOR PRDS TO OUTLET EXTRACTION TRANSMITTER 10LBD11CP001  </t>
  </si>
  <si>
    <t xml:space="preserve">DEAERATOR PRDS TO OUTLET EXTRACTION II TRANSMITTER 10LBD11CP002  </t>
  </si>
  <si>
    <t>FEEDWATER STORAGE TANK PRESSURE TRANSMITTER 10LAA20CP001</t>
  </si>
  <si>
    <t>LP HEATER 2 TRANSMITTER 10LCC40CL001</t>
  </si>
  <si>
    <t xml:space="preserve">LP HEATER 2 TRANSMITTER 10LCC40CL002  </t>
  </si>
  <si>
    <t xml:space="preserve">LPH II - TUBE SIDE OUTLET TO DEAERATOR TEMP TRANSMITTER 10LCC20CT001 </t>
  </si>
  <si>
    <t>FEEDWATER STORAGE TANK TRANSMITTER 10LAA20CT001</t>
  </si>
  <si>
    <t xml:space="preserve">CYCLE MAKE UP PUMP DEAERATOR TRANSMITTER 10HGC20CF001  </t>
  </si>
  <si>
    <t xml:space="preserve">DEAERATOR TANK LEVEL 1 TRANSMITTER 10LAA20CL001  </t>
  </si>
  <si>
    <t xml:space="preserve">DEAERATOR TANK LEVEL 2 TRANSMITTER 10LAA20CL002  </t>
  </si>
  <si>
    <t xml:space="preserve">DEAERATOR TANK LEVEL 3 TRANSMITTER 10LAA20CL003  </t>
  </si>
  <si>
    <t xml:space="preserve">TURBINE EXTRACTION III TO DEAERATOR PRESSURE TRANSMITTER 10LBD20CP001  </t>
  </si>
  <si>
    <t xml:space="preserve">TURBINE EXTRACTION III TO LPH PRESSURE TRANSMITTER 10LBD30CP001 </t>
  </si>
  <si>
    <t>TURBINE EXTRACTION 1 TO PNEUMATIC OPERATED VALVE PRESSURE TRANSMITTER 10LBS10CP001</t>
  </si>
  <si>
    <t>LP HEATER 1 TRANSMITTER 10LCC30CL001</t>
  </si>
  <si>
    <t>LP HEATER 1 TRANSMITTER 10LCC30CL002</t>
  </si>
  <si>
    <t>FLOW CONDESATE TO LP HEATER 1 TRANSMITTER 10LCA40CF001</t>
  </si>
  <si>
    <t>CONDENSATE TO LP HEATER TRANSMITTER 10LCA40CF001</t>
  </si>
  <si>
    <t xml:space="preserve">P.A APH OUTLET FLOW DP TRANSMITTER 10HLA15CF001  </t>
  </si>
  <si>
    <t>P.A APH OUTLET FLOW DP TRANSMITTER 10HLA15CF002</t>
  </si>
  <si>
    <t xml:space="preserve">P.A APH OUTLET PRESSURE TRANSMITTER 10HLA15CP001  </t>
  </si>
  <si>
    <t xml:space="preserve">AIR SUB1 FLOW DP TRANSMITTER 10HJL10CF010 </t>
  </si>
  <si>
    <t xml:space="preserve">AIR SUB2 FLOW DP TRANSMITTER 10HJL11CF010  </t>
  </si>
  <si>
    <t xml:space="preserve">SA APH OUTLET FLOW TRANSMITTER 10HLA25CF001  </t>
  </si>
  <si>
    <t xml:space="preserve">SA APH OUTLET FLOW TRANSMITTER 10HLA25CF002  </t>
  </si>
  <si>
    <t xml:space="preserve">SA APH OUTLET PRESSURE TRANSMITTER 10HLA25CP001 </t>
  </si>
  <si>
    <t xml:space="preserve">DRUM LEVEL TRANSMITTER 10HAD10CL001  </t>
  </si>
  <si>
    <t xml:space="preserve">DRUM LEVEL TRANSMITTER 10HAD10CL002  </t>
  </si>
  <si>
    <t xml:space="preserve">DRUM LEVEL TRANSMITTER 10HAD10CL003  </t>
  </si>
  <si>
    <t xml:space="preserve">DRUM PRESSURE TRANSMITTER 10HAD10CP002  </t>
  </si>
  <si>
    <t xml:space="preserve">DRUM PRESSURE TRANSMITTER 10HAD10CP003  </t>
  </si>
  <si>
    <t>DRUM PRESSURE TRANSMITTER 10HAD10CP001</t>
  </si>
  <si>
    <t xml:space="preserve">COMBUSTER ASH DRAIN 1 (BED ASH COOLER DRAIN) MOV 10HHC01AA001  </t>
  </si>
  <si>
    <t xml:space="preserve">COMBUSTER ASH DRAIN 2 (EMERGENCY ASH DRAIN) MOV 10HHC01AA002  </t>
  </si>
  <si>
    <t xml:space="preserve">ACTUATOR BED MATERIAL DISCHARGE GATE VALVE 10ETG31AA01 </t>
  </si>
  <si>
    <t>COMBUSTOR LOWER PRESSURE TRANSMITTER 10HHC01CP001</t>
  </si>
  <si>
    <t xml:space="preserve">MSW20HHC10CP102 : UNIT 1 COMBUSTOR DP WITH GRATE  10HHC01CP011  </t>
  </si>
  <si>
    <t xml:space="preserve">MSW20HHC10CP103 : UNIT 1 COMBUSTOR UPPER DP  10HHC01CP012  </t>
  </si>
  <si>
    <t xml:space="preserve">AIR COMBUSTOR AT LEVEL PRES TRANSMITTER 10HHC01CP060  </t>
  </si>
  <si>
    <t>MSW20HHC10CT101 : UNIT 1 COMBUSTOR LOWER TEMP  10HHC01CT011</t>
  </si>
  <si>
    <t>MSW20HHC10CT102 : UNIT 1 COMBUSTOR LOWER TEMP  10HHC01CT012</t>
  </si>
  <si>
    <t>MSW20HHC10CT103 : UNIT 1 COMBUSTOR LOWER TEMP  10HHC01CT013</t>
  </si>
  <si>
    <t>MSW20HHC10CT104 : UNIT 1 COMBUSTOR MIDDLE TEMP  10HHC01CT041</t>
  </si>
  <si>
    <t>MSW20HHC10CT105 : UNIT 1 COMBUSTOR MIDDLE TEMP  10HHC01CT042</t>
  </si>
  <si>
    <t>MSW20HHC10CT106 : UNIT 1 COMBUSTOR MIDDLE TEMP  10HHC01CT043</t>
  </si>
  <si>
    <t xml:space="preserve">INLET BACKPASS PRESSURE TRANSMITTER 10HBK01CP003  </t>
  </si>
  <si>
    <t xml:space="preserve">INLET BACKPASS PRESSURE TRANSMITTER 10HBK01CP002  </t>
  </si>
  <si>
    <t xml:space="preserve">INLET BACKPASS PRESSURE TRANSMITTER 10HBK01CP001  </t>
  </si>
  <si>
    <t>BACKPASS PRESSURE AFTER LT SH TRANSMITTER 10HBK01CP030</t>
  </si>
  <si>
    <t xml:space="preserve">BACKPASS PRESSURE AFTER ECO TRANSMITTER 10HBK01CP050 </t>
  </si>
  <si>
    <t>CYCLONE TO SEALPOT PRESSURE TRANSMITTER 10HDF01CP001</t>
  </si>
  <si>
    <t>MSW20HDF10CT102 : UNIT 1 CYCLONE OUTLET TEMP   10HNA01CT001</t>
  </si>
  <si>
    <t>ERV PRESSURE SWITCH 10LBA20CP502</t>
  </si>
  <si>
    <t>INSPECTION AND CALIBRATION TEMP TRANSMITTER 10LBA10CT001</t>
  </si>
  <si>
    <t>INSPECTION AND CALIBRATION TEMP TRANSMITTER 10LBA10CT002</t>
  </si>
  <si>
    <t>INSPECTION AND CALIBRATION TEMP TRANSMITTER 10LBA10CT003</t>
  </si>
  <si>
    <t xml:space="preserve">ACTUATOR MAIN STEAM LINE (START UP BYPASS) TO DEAERATOR PRDS I/L CV 10LBH10AA210  </t>
  </si>
  <si>
    <t xml:space="preserve">MS START-UP VENT VALVE (REGULATING) MOV 10LBA21AA011  </t>
  </si>
  <si>
    <t>MS START-UP VENT VALVE (ISOLATION) MOV 10LBA21AA001</t>
  </si>
  <si>
    <t xml:space="preserve">MAIN STEAM LIVE PRESSURE TRANSMITTER 10LAB10CP001  </t>
  </si>
  <si>
    <t xml:space="preserve">MAIN STEAM LIVE PRESSURE TRANSMITTER 10LAB10CP002  </t>
  </si>
  <si>
    <t xml:space="preserve">MAIN STEAM LIVE PRESSURE TRANSMITTER 10LAB10CP003 </t>
  </si>
  <si>
    <t xml:space="preserve">INSPECTION AND CALIBRATION FLOW TRANSMITTER 10LBA10CF001 </t>
  </si>
  <si>
    <t>INSPECTION AND CALIBRATION FLOW TRANSMITTER 10LBA10CF002</t>
  </si>
  <si>
    <t>INSPEKSI DAN KALIBRASI LUB OIL PRESSURE TRANSMITTER 10MAV40CP001</t>
  </si>
  <si>
    <t>INSPEKSI DAN KALIBRASI LUB OIL PRESSURE TRANSMITTER 10MAV40CP002</t>
  </si>
  <si>
    <t>INSPEKSI DAN KALIBRASI LUB OIL PRESSURE TRANSMITTER 10MAV40CP003</t>
  </si>
  <si>
    <t xml:space="preserve">VALVE CHEST TEMPERATURE TRANSMITTER 10MAA10CT011  </t>
  </si>
  <si>
    <t xml:space="preserve">LIVE STEAM PRESSURE TRANSMITTER 10LBA10CP001 </t>
  </si>
  <si>
    <t>HP BYPASS TEMPERATURE TRANSMITTER 10LBF10CT001</t>
  </si>
  <si>
    <t>BYPASS PRESSURE TRANSMITTER 10MAG10CP001</t>
  </si>
  <si>
    <t>MSW20LBF10CP101 : UNIT 1 STEAM BYPASS REDUCING PRESSURE TRANSMITTER  10LBF10CP001</t>
  </si>
  <si>
    <t>DRAIN OF ESV 10MAL10AA210</t>
  </si>
  <si>
    <t>DRAIN OF CV CHAMBER 10MAL20AA210</t>
  </si>
  <si>
    <t>TURBINE DRAIN VALVE AFTER FIRST STAGE 10MAL30AA210</t>
  </si>
  <si>
    <t>TURBINE DRAIN VALVE 10MAL40AA210</t>
  </si>
  <si>
    <t>TURBINE DRAIN VALVE 10MAL50AA210</t>
  </si>
  <si>
    <t>TURBINE DRAIN VALVE 10MAL60AA210</t>
  </si>
  <si>
    <t>TURBINE DRAIN VALVE 10MAL70AA210</t>
  </si>
  <si>
    <t>MSW20MAG10CP103 : UNIT 1 CONDENSER BYPASS PRESSURE TRANSMITTER  10MAG10CP001</t>
  </si>
  <si>
    <t>COOLING WATER SUPPLY TEMPERATURE TRANSMITTER 10PAB11CT001</t>
  </si>
  <si>
    <t>COOLING WATER SUPPLY TEMPERATURE TRANSMITTER 10PAB12CT001</t>
  </si>
  <si>
    <t>COOLING WATER RETURN TEMPERATURE TRANSMITTER 10PAB21CT001</t>
  </si>
  <si>
    <t>COOLING WATER RETURN TEMPERATURE TRANSMITTER 10PAB22CT001</t>
  </si>
  <si>
    <t>PRESSURE TRANSMITTER CONDENSATE PUMP TO DELIVERY 10LCA30CP001</t>
  </si>
  <si>
    <t xml:space="preserve">ACTUATOR CONDENSATE PUMP RECIRCULATION CONTROL VALVE 10LCA31AA210  </t>
  </si>
  <si>
    <t>ACTUATOR MAIN CONDENSATE CONTROL VALVE 10LCA30AA240</t>
  </si>
  <si>
    <t xml:space="preserve">SOOT BLOWER STEAM OUTLET TRANSMITTER 10HCB10CP001 </t>
  </si>
  <si>
    <t xml:space="preserve">SOOT BLOWER STEAM FLOW TRANSMITTER 10HCB10CF001 </t>
  </si>
  <si>
    <t>ACTUATOR VALVE DRAIN SOOT BLOWER 10HCB10AA201</t>
  </si>
  <si>
    <t xml:space="preserve">SOOT BLOWER VALVE MOV 10HCB10AA001  </t>
  </si>
  <si>
    <t xml:space="preserve">ACTUATOR SOOT BLOWER CONTROL VALVE 10HCB10EX001  </t>
  </si>
  <si>
    <t xml:space="preserve">GLAND STEAM PRESSURE TRANSMITTER 10MAW11CP001 </t>
  </si>
  <si>
    <t xml:space="preserve">ACTUATOR GLAND STEAM PRESSURE CONTROL VALVE 10MAW10AA210  </t>
  </si>
  <si>
    <t xml:space="preserve">ACTUATOR GLAND STEAM TEMPERATURE CONTROL VALVE 10LCE10AA210  </t>
  </si>
  <si>
    <t>22/8/2026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</si>
</sst>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4" tint="0.39997558519241921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7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4" fillId="0" borderId="8" xfId="0" applyFont="1" applyBorder="1"/>
    <xf numFmtId="0" fontId="4" fillId="0" borderId="7" xfId="0" applyFont="1" applyBorder="1"/>
    <xf numFmtId="0" fontId="4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4" xfId="0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/>
    <xf numFmtId="0" fontId="10" fillId="0" borderId="8" xfId="0" applyFont="1" applyBorder="1"/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/>
    <xf numFmtId="0" fontId="4" fillId="0" borderId="14" xfId="0" applyFont="1" applyBorder="1" applyAlignment="1">
      <alignment vertical="center"/>
    </xf>
    <xf numFmtId="0" fontId="10" fillId="0" borderId="4" xfId="0" applyFont="1" applyBorder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/>
    </xf>
    <xf numFmtId="14" fontId="4" fillId="0" borderId="16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/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16" xfId="0" quotePrefix="1" applyFont="1" applyBorder="1" applyAlignment="1">
      <alignment horizontal="center" vertical="center"/>
    </xf>
    <xf numFmtId="0" fontId="10" fillId="0" borderId="16" xfId="0" applyFont="1" applyBorder="1"/>
    <xf numFmtId="0" fontId="4" fillId="0" borderId="17" xfId="0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5" xfId="0" applyFont="1" applyBorder="1"/>
    <xf numFmtId="0" fontId="0" fillId="0" borderId="0" xfId="0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5" fontId="5" fillId="4" borderId="4" xfId="1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0" fontId="10" fillId="0" borderId="9" xfId="0" quotePrefix="1" applyFont="1" applyBorder="1" applyAlignment="1">
      <alignment horizontal="center" vertical="center"/>
    </xf>
    <xf numFmtId="49" fontId="0" fillId="6" borderId="19" xfId="0" applyNumberFormat="1" applyFill="1" applyBorder="1" applyAlignment="1">
      <alignment horizontal="left"/>
    </xf>
    <xf numFmtId="0" fontId="4" fillId="3" borderId="4" xfId="0" applyFont="1" applyFill="1" applyBorder="1" applyAlignment="1">
      <alignment horizontal="left" vertical="center" wrapText="1"/>
    </xf>
    <xf numFmtId="49" fontId="0" fillId="0" borderId="19" xfId="0" applyNumberFormat="1" applyBorder="1" applyAlignment="1">
      <alignment horizontal="left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9"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color theme="1"/>
      </font>
      <fill>
        <patternFill>
          <bgColor auto="1"/>
        </patternFill>
      </fill>
    </dxf>
    <dxf>
      <font>
        <color rgb="FF00B0F0"/>
      </font>
    </dxf>
    <dxf>
      <font>
        <color rgb="FF92D05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color rgb="FF00B0F0"/>
      </font>
    </dxf>
    <dxf>
      <font>
        <color rgb="FF92D05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color rgb="FF92D050"/>
      </font>
    </dxf>
    <dxf>
      <font>
        <color rgb="FF00B0F0"/>
      </font>
    </dxf>
    <dxf>
      <font>
        <color rgb="FF92D05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color rgb="FF00B0F0"/>
      </font>
    </dxf>
    <dxf>
      <font>
        <color rgb="FF92D05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color rgb="FF00B0F0"/>
      </font>
    </dxf>
    <dxf>
      <font>
        <color rgb="FF92D05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00B0F0"/>
      </font>
    </dxf>
    <dxf>
      <font>
        <color rgb="FF92D050"/>
      </font>
    </dxf>
    <dxf>
      <font>
        <color rgb="FF00B0F0"/>
      </font>
    </dxf>
    <dxf>
      <font>
        <color rgb="FF92D05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00B0F0"/>
      </font>
    </dxf>
    <dxf>
      <font>
        <color rgb="FF92D050"/>
      </font>
    </dxf>
    <dxf>
      <font>
        <color rgb="FF00B0F0"/>
      </font>
    </dxf>
    <dxf>
      <font>
        <color rgb="FF00B0F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252935</xdr:colOff>
      <xdr:row>1</xdr:row>
      <xdr:rowOff>52827</xdr:rowOff>
    </xdr:from>
    <xdr:to>
      <xdr:col>3</xdr:col>
      <xdr:colOff>3012140</xdr:colOff>
      <xdr:row>5</xdr:row>
      <xdr:rowOff>153510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681D5F-3888-4075-BDF3-23C8395A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5853" y="375556"/>
          <a:ext cx="2759205" cy="124816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1C71-B560-4AD0-AED3-5B8651FB1D51}">
  <sheetPr>
    <outlinePr summaryBelow="0"/>
    <pageSetUpPr fitToPage="1"/>
  </sheetPr>
  <dimension ref="A1:R797"/>
  <sheetViews>
    <sheetView tabSelected="1" zoomScale="85" zoomScaleNormal="85" workbookViewId="0">
      <selection activeCell="K270" sqref="K270"/>
    </sheetView>
  </sheetViews>
  <sheetFormatPr defaultRowHeight="14.6" outlineLevelRow="1" x14ac:dyDescent="0.4"/>
  <cols>
    <col min="2" max="2" width="3.3046875" bestFit="1" customWidth="1"/>
    <col min="3" max="3" width="17.69140625" customWidth="1"/>
    <col min="4" max="4" width="89.3046875" customWidth="1"/>
    <col min="5" max="5" width="13.69140625" customWidth="1"/>
    <col min="6" max="6" width="13" bestFit="1" customWidth="1"/>
    <col min="7" max="7" width="12.3046875" bestFit="1" customWidth="1"/>
    <col min="8" max="8" width="13.69140625" customWidth="1"/>
    <col min="9" max="9" width="14.3046875" bestFit="1" customWidth="1"/>
    <col min="10" max="10" width="12.3046875" bestFit="1" customWidth="1"/>
    <col min="11" max="11" width="11.3046875" bestFit="1" customWidth="1"/>
    <col min="12" max="12" width="42.3046875" customWidth="1"/>
    <col min="13" max="13" width="8.69140625" bestFit="1" customWidth="1"/>
  </cols>
  <sheetData>
    <row r="1" spans="1:18" ht="25.2" customHeight="1" x14ac:dyDescent="0.4">
      <c r="A1" s="86" t="s">
        <v>297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7"/>
      <c r="R1" s="7"/>
    </row>
    <row r="2" spans="1:18" ht="25.2" customHeight="1" x14ac:dyDescent="0.4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6"/>
      <c r="N2" s="6"/>
      <c r="O2" s="7"/>
      <c r="P2" s="7"/>
      <c r="Q2" s="7"/>
      <c r="R2" s="7"/>
    </row>
    <row r="3" spans="1:18" ht="25.2" customHeight="1" x14ac:dyDescent="0.4">
      <c r="B3" s="86" t="s">
        <v>0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7"/>
      <c r="R3" s="7"/>
    </row>
    <row r="4" spans="1:18" ht="25.2" customHeight="1" x14ac:dyDescent="0.4">
      <c r="B4" s="8"/>
      <c r="C4" s="8"/>
      <c r="D4" s="9"/>
      <c r="E4" s="8"/>
      <c r="F4" s="8"/>
    </row>
    <row r="6" spans="1:18" ht="25.2" customHeight="1" x14ac:dyDescent="0.4"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6</v>
      </c>
    </row>
    <row r="7" spans="1:18" s="54" customFormat="1" ht="25.2" customHeight="1" x14ac:dyDescent="0.4">
      <c r="E7" s="59">
        <f>COUNTIF($H$12:$H$796,E6)</f>
        <v>26</v>
      </c>
      <c r="F7" s="55">
        <f>COUNTIF($H$12:$H$796,F6)</f>
        <v>3</v>
      </c>
      <c r="G7" s="56">
        <f>COUNTIF($H$12:$H$796,G6)</f>
        <v>35</v>
      </c>
      <c r="H7" s="57">
        <f>SUM(E7:G7)</f>
        <v>64</v>
      </c>
      <c r="I7" s="66">
        <f>J7/(H7*100)</f>
        <v>0.36113167032163751</v>
      </c>
      <c r="J7" s="58">
        <f>SUM(K11:K1265)</f>
        <v>2311.2426900584801</v>
      </c>
    </row>
    <row r="8" spans="1:18" ht="25.2" customHeight="1" thickBot="1" x14ac:dyDescent="0.45"/>
    <row r="9" spans="1:18" x14ac:dyDescent="0.4">
      <c r="B9" s="95" t="s">
        <v>7</v>
      </c>
      <c r="C9" s="89" t="s">
        <v>8</v>
      </c>
      <c r="D9" s="89" t="s">
        <v>9</v>
      </c>
      <c r="E9" s="89" t="s">
        <v>10</v>
      </c>
      <c r="F9" s="89"/>
      <c r="G9" s="89"/>
      <c r="H9" s="89" t="s">
        <v>11</v>
      </c>
      <c r="I9" s="89" t="s">
        <v>12</v>
      </c>
      <c r="J9" s="87" t="s">
        <v>13</v>
      </c>
      <c r="K9" s="89" t="s">
        <v>14</v>
      </c>
      <c r="L9" s="91" t="s">
        <v>15</v>
      </c>
      <c r="M9" s="93" t="s">
        <v>16</v>
      </c>
    </row>
    <row r="10" spans="1:18" x14ac:dyDescent="0.4">
      <c r="B10" s="96"/>
      <c r="C10" s="90"/>
      <c r="D10" s="90"/>
      <c r="E10" s="2" t="s">
        <v>17</v>
      </c>
      <c r="F10" s="2" t="s">
        <v>18</v>
      </c>
      <c r="G10" s="2" t="s">
        <v>2</v>
      </c>
      <c r="H10" s="90"/>
      <c r="I10" s="90"/>
      <c r="J10" s="88"/>
      <c r="K10" s="90"/>
      <c r="L10" s="92"/>
      <c r="M10" s="94"/>
    </row>
    <row r="11" spans="1:18" x14ac:dyDescent="0.4">
      <c r="B11" s="1"/>
      <c r="C11" s="2"/>
      <c r="D11" s="3"/>
      <c r="E11" s="2"/>
      <c r="F11" s="2"/>
      <c r="G11" s="2"/>
      <c r="H11" s="2"/>
      <c r="I11" s="2"/>
      <c r="J11" s="2"/>
      <c r="K11" s="2"/>
      <c r="L11" s="5"/>
      <c r="M11" s="4"/>
    </row>
    <row r="12" spans="1:18" s="10" customFormat="1" ht="25.2" customHeight="1" x14ac:dyDescent="0.45">
      <c r="B12" s="63">
        <v>1</v>
      </c>
      <c r="C12" s="74" t="s">
        <v>465</v>
      </c>
      <c r="D12" s="75" t="s">
        <v>293</v>
      </c>
      <c r="E12" s="13" t="s">
        <v>623</v>
      </c>
      <c r="F12" s="13"/>
      <c r="G12" s="13"/>
      <c r="H12" s="14" t="str">
        <f>IF(K12=100, "FINISH", IF(K12&gt;0, "IN PROGRESS", IF(K12=0, "SCHED-OK", "")))</f>
        <v>IN PROGRESS</v>
      </c>
      <c r="I12" s="20" t="s">
        <v>19</v>
      </c>
      <c r="J12" s="15" cm="1">
        <f t="array" ref="J12">IF(B12&lt;&gt;"",MATCH(TRUE, INDEX((B13:B$9601&lt;&gt;""), 0), 0) - 1,"")</f>
        <v>9</v>
      </c>
      <c r="K12" s="16">
        <f>COUNTIF(K13:K21,TRUE)/COUNTA(K13:K21)*100</f>
        <v>88.888888888888886</v>
      </c>
      <c r="L12" s="17" t="s">
        <v>20</v>
      </c>
      <c r="M12" s="18"/>
    </row>
    <row r="13" spans="1:18" s="10" customFormat="1" ht="25.2" customHeight="1" outlineLevel="1" x14ac:dyDescent="0.45">
      <c r="B13" s="63"/>
      <c r="C13" s="12"/>
      <c r="D13" s="75" t="s">
        <v>21</v>
      </c>
      <c r="E13" s="13"/>
      <c r="F13" s="13"/>
      <c r="G13" s="13"/>
      <c r="H13" s="14"/>
      <c r="I13" s="20"/>
      <c r="J13" s="15" t="str" cm="1">
        <f t="array" ref="J13">IF(B13&lt;&gt;"",MATCH(TRUE, INDEX((B14:B$9601&lt;&gt;""), 0), 0) - 1,"")</f>
        <v/>
      </c>
      <c r="K13" s="19" t="b">
        <v>1</v>
      </c>
      <c r="L13" s="17"/>
      <c r="M13" s="18"/>
    </row>
    <row r="14" spans="1:18" s="10" customFormat="1" ht="25.2" customHeight="1" outlineLevel="1" x14ac:dyDescent="0.45">
      <c r="B14" s="63"/>
      <c r="C14" s="12"/>
      <c r="D14" s="75" t="s">
        <v>22</v>
      </c>
      <c r="E14" s="13"/>
      <c r="F14" s="13"/>
      <c r="G14" s="13"/>
      <c r="H14" s="14"/>
      <c r="I14" s="20"/>
      <c r="J14" s="15" t="str" cm="1">
        <f t="array" ref="J14">IF(B14&lt;&gt;"",MATCH(TRUE, INDEX((B15:B$9601&lt;&gt;""), 0), 0) - 1,"")</f>
        <v/>
      </c>
      <c r="K14" s="19" t="b">
        <v>1</v>
      </c>
      <c r="L14" s="17"/>
      <c r="M14" s="18"/>
    </row>
    <row r="15" spans="1:18" s="10" customFormat="1" ht="25.2" customHeight="1" outlineLevel="1" x14ac:dyDescent="0.45">
      <c r="B15" s="63"/>
      <c r="C15" s="12"/>
      <c r="D15" s="75" t="s">
        <v>23</v>
      </c>
      <c r="E15" s="13"/>
      <c r="F15" s="13"/>
      <c r="G15" s="13"/>
      <c r="H15" s="14"/>
      <c r="I15" s="20"/>
      <c r="J15" s="15" t="str" cm="1">
        <f t="array" ref="J15">IF(B15&lt;&gt;"",MATCH(TRUE, INDEX((B16:B$9601&lt;&gt;""), 0), 0) - 1,"")</f>
        <v/>
      </c>
      <c r="K15" s="19" t="b">
        <v>1</v>
      </c>
      <c r="L15" s="17"/>
      <c r="M15" s="18"/>
    </row>
    <row r="16" spans="1:18" s="10" customFormat="1" ht="25.2" customHeight="1" outlineLevel="1" x14ac:dyDescent="0.45">
      <c r="B16" s="63"/>
      <c r="C16" s="12"/>
      <c r="D16" s="75" t="s">
        <v>24</v>
      </c>
      <c r="E16" s="13"/>
      <c r="F16" s="13"/>
      <c r="G16" s="13"/>
      <c r="H16" s="14"/>
      <c r="I16" s="20"/>
      <c r="J16" s="15" t="str" cm="1">
        <f t="array" ref="J16">IF(B16&lt;&gt;"",MATCH(TRUE, INDEX((B17:B$9601&lt;&gt;""), 0), 0) - 1,"")</f>
        <v/>
      </c>
      <c r="K16" s="19" t="b">
        <v>1</v>
      </c>
      <c r="L16" s="17"/>
      <c r="M16" s="18"/>
    </row>
    <row r="17" spans="2:13" s="10" customFormat="1" ht="25.2" customHeight="1" outlineLevel="1" x14ac:dyDescent="0.45">
      <c r="B17" s="63"/>
      <c r="C17" s="12"/>
      <c r="D17" s="75" t="s">
        <v>25</v>
      </c>
      <c r="E17" s="13"/>
      <c r="F17" s="13"/>
      <c r="G17" s="13"/>
      <c r="H17" s="14"/>
      <c r="I17" s="20"/>
      <c r="J17" s="15" t="str" cm="1">
        <f t="array" ref="J17">IF(B17&lt;&gt;"",MATCH(TRUE, INDEX((B18:B$9601&lt;&gt;""), 0), 0) - 1,"")</f>
        <v/>
      </c>
      <c r="K17" s="19" t="b">
        <v>1</v>
      </c>
      <c r="L17" s="17"/>
      <c r="M17" s="18"/>
    </row>
    <row r="18" spans="2:13" s="10" customFormat="1" ht="25.2" customHeight="1" outlineLevel="1" x14ac:dyDescent="0.45">
      <c r="B18" s="63"/>
      <c r="C18" s="12"/>
      <c r="D18" s="75" t="s">
        <v>26</v>
      </c>
      <c r="E18" s="13"/>
      <c r="F18" s="13"/>
      <c r="G18" s="13"/>
      <c r="H18" s="14"/>
      <c r="I18" s="20"/>
      <c r="J18" s="15" t="str" cm="1">
        <f t="array" ref="J18">IF(B18&lt;&gt;"",MATCH(TRUE, INDEX((B19:B$9601&lt;&gt;""), 0), 0) - 1,"")</f>
        <v/>
      </c>
      <c r="K18" s="19" t="b">
        <v>1</v>
      </c>
      <c r="L18" s="17"/>
      <c r="M18" s="18"/>
    </row>
    <row r="19" spans="2:13" s="10" customFormat="1" ht="25.2" customHeight="1" outlineLevel="1" x14ac:dyDescent="0.45">
      <c r="B19" s="63"/>
      <c r="C19" s="12"/>
      <c r="D19" s="75" t="s">
        <v>27</v>
      </c>
      <c r="E19" s="13"/>
      <c r="F19" s="13"/>
      <c r="G19" s="13"/>
      <c r="H19" s="14"/>
      <c r="I19" s="20"/>
      <c r="J19" s="15" t="str" cm="1">
        <f t="array" ref="J19">IF(B19&lt;&gt;"",MATCH(TRUE, INDEX((B20:B$9601&lt;&gt;""), 0), 0) - 1,"")</f>
        <v/>
      </c>
      <c r="K19" s="19" t="b">
        <v>1</v>
      </c>
      <c r="L19" s="17"/>
      <c r="M19" s="18"/>
    </row>
    <row r="20" spans="2:13" s="10" customFormat="1" ht="25.2" customHeight="1" outlineLevel="1" x14ac:dyDescent="0.45">
      <c r="B20" s="63"/>
      <c r="C20" s="12"/>
      <c r="D20" s="75" t="s">
        <v>28</v>
      </c>
      <c r="E20" s="13"/>
      <c r="F20" s="13"/>
      <c r="G20" s="13"/>
      <c r="H20" s="14"/>
      <c r="I20" s="20"/>
      <c r="J20" s="15" t="str" cm="1">
        <f t="array" ref="J20">IF(B20&lt;&gt;"",MATCH(TRUE, INDEX((B21:B$9601&lt;&gt;""), 0), 0) - 1,"")</f>
        <v/>
      </c>
      <c r="K20" s="19" t="b">
        <v>1</v>
      </c>
      <c r="L20" s="17"/>
      <c r="M20" s="18"/>
    </row>
    <row r="21" spans="2:13" s="10" customFormat="1" ht="25.2" customHeight="1" outlineLevel="1" x14ac:dyDescent="0.45">
      <c r="B21" s="63"/>
      <c r="C21" s="12"/>
      <c r="D21" s="75" t="s">
        <v>476</v>
      </c>
      <c r="E21" s="13"/>
      <c r="F21" s="13"/>
      <c r="G21" s="13"/>
      <c r="H21" s="14"/>
      <c r="I21" s="20"/>
      <c r="J21" s="15" t="str" cm="1">
        <f t="array" ref="J21">IF(B21&lt;&gt;"",MATCH(TRUE, INDEX((B22:B$9601&lt;&gt;""), 0), 0) - 1,"")</f>
        <v/>
      </c>
      <c r="K21" s="19" t="b">
        <v>0</v>
      </c>
      <c r="L21" s="17"/>
      <c r="M21" s="18"/>
    </row>
    <row r="22" spans="2:13" s="10" customFormat="1" ht="25.2" customHeight="1" x14ac:dyDescent="0.45">
      <c r="B22" s="63">
        <v>2</v>
      </c>
      <c r="C22" s="76" t="s">
        <v>466</v>
      </c>
      <c r="D22" s="75" t="s">
        <v>294</v>
      </c>
      <c r="E22" s="13" t="s">
        <v>623</v>
      </c>
      <c r="F22" s="13"/>
      <c r="G22" s="13"/>
      <c r="H22" s="14" t="str">
        <f>IF(K22=100, "FINISH", IF(K22&gt;0, "IN PROGRESS", IF(K22=0, "SCHED-OK", "")))</f>
        <v>IN PROGRESS</v>
      </c>
      <c r="I22" s="20" t="s">
        <v>19</v>
      </c>
      <c r="J22" s="15" cm="1">
        <f t="array" ref="J22">IF(B22&lt;&gt;"",MATCH(TRUE, INDEX((B23:B$9601&lt;&gt;""), 0), 0) - 1,"")</f>
        <v>9</v>
      </c>
      <c r="K22" s="16">
        <f>COUNTIF(K23:K31,TRUE)/COUNTA(K23:K31)*100</f>
        <v>88.888888888888886</v>
      </c>
      <c r="L22" s="17" t="s">
        <v>20</v>
      </c>
      <c r="M22" s="18"/>
    </row>
    <row r="23" spans="2:13" s="10" customFormat="1" ht="25.2" customHeight="1" outlineLevel="1" x14ac:dyDescent="0.45">
      <c r="B23" s="63"/>
      <c r="C23" s="12"/>
      <c r="D23" s="77" t="s">
        <v>21</v>
      </c>
      <c r="E23" s="13" t="s">
        <v>623</v>
      </c>
      <c r="F23" s="13"/>
      <c r="G23" s="13"/>
      <c r="H23" s="14"/>
      <c r="I23" s="20"/>
      <c r="J23" s="15" t="str" cm="1">
        <f t="array" ref="J23">IF(B23&lt;&gt;"",MATCH(TRUE, INDEX((B24:B$9601&lt;&gt;""), 0), 0) - 1,"")</f>
        <v/>
      </c>
      <c r="K23" s="19" t="b">
        <v>1</v>
      </c>
      <c r="L23" s="17"/>
      <c r="M23" s="18"/>
    </row>
    <row r="24" spans="2:13" s="10" customFormat="1" ht="25.2" customHeight="1" outlineLevel="1" x14ac:dyDescent="0.45">
      <c r="B24" s="63"/>
      <c r="C24" s="12"/>
      <c r="D24" s="77" t="s">
        <v>22</v>
      </c>
      <c r="E24" s="13" t="s">
        <v>623</v>
      </c>
      <c r="F24" s="13"/>
      <c r="G24" s="13"/>
      <c r="H24" s="14"/>
      <c r="I24" s="20"/>
      <c r="J24" s="15" t="str" cm="1">
        <f t="array" ref="J24">IF(B24&lt;&gt;"",MATCH(TRUE, INDEX((B25:B$9601&lt;&gt;""), 0), 0) - 1,"")</f>
        <v/>
      </c>
      <c r="K24" s="19" t="b">
        <v>1</v>
      </c>
      <c r="L24" s="17"/>
      <c r="M24" s="18"/>
    </row>
    <row r="25" spans="2:13" s="10" customFormat="1" ht="25.2" customHeight="1" outlineLevel="1" x14ac:dyDescent="0.45">
      <c r="B25" s="63"/>
      <c r="C25" s="12"/>
      <c r="D25" s="75" t="s">
        <v>23</v>
      </c>
      <c r="E25" s="13" t="s">
        <v>623</v>
      </c>
      <c r="F25" s="13"/>
      <c r="G25" s="13"/>
      <c r="H25" s="14"/>
      <c r="I25" s="20"/>
      <c r="J25" s="15" t="str" cm="1">
        <f t="array" ref="J25">IF(B25&lt;&gt;"",MATCH(TRUE, INDEX((B26:B$9601&lt;&gt;""), 0), 0) - 1,"")</f>
        <v/>
      </c>
      <c r="K25" s="19" t="b">
        <v>1</v>
      </c>
      <c r="L25" s="17"/>
      <c r="M25" s="18"/>
    </row>
    <row r="26" spans="2:13" s="10" customFormat="1" ht="25.2" customHeight="1" outlineLevel="1" x14ac:dyDescent="0.45">
      <c r="B26" s="63"/>
      <c r="C26" s="12"/>
      <c r="D26" s="77" t="s">
        <v>24</v>
      </c>
      <c r="E26" s="13" t="s">
        <v>623</v>
      </c>
      <c r="F26" s="13"/>
      <c r="G26" s="13"/>
      <c r="H26" s="14"/>
      <c r="I26" s="20"/>
      <c r="J26" s="15" t="str" cm="1">
        <f t="array" ref="J26">IF(B26&lt;&gt;"",MATCH(TRUE, INDEX((B27:B$9601&lt;&gt;""), 0), 0) - 1,"")</f>
        <v/>
      </c>
      <c r="K26" s="19" t="b">
        <v>1</v>
      </c>
      <c r="L26" s="17"/>
      <c r="M26" s="18"/>
    </row>
    <row r="27" spans="2:13" s="10" customFormat="1" ht="25.2" customHeight="1" outlineLevel="1" x14ac:dyDescent="0.45">
      <c r="B27" s="63"/>
      <c r="C27" s="12"/>
      <c r="D27" s="77" t="s">
        <v>25</v>
      </c>
      <c r="E27" s="13" t="s">
        <v>623</v>
      </c>
      <c r="F27" s="13"/>
      <c r="G27" s="13"/>
      <c r="H27" s="14"/>
      <c r="I27" s="20"/>
      <c r="J27" s="15" t="str" cm="1">
        <f t="array" ref="J27">IF(B27&lt;&gt;"",MATCH(TRUE, INDEX((B28:B$9601&lt;&gt;""), 0), 0) - 1,"")</f>
        <v/>
      </c>
      <c r="K27" s="19" t="b">
        <v>1</v>
      </c>
      <c r="L27" s="17"/>
      <c r="M27" s="18"/>
    </row>
    <row r="28" spans="2:13" s="10" customFormat="1" ht="25.2" customHeight="1" outlineLevel="1" x14ac:dyDescent="0.45">
      <c r="B28" s="63"/>
      <c r="C28" s="12"/>
      <c r="D28" s="77" t="s">
        <v>26</v>
      </c>
      <c r="E28" s="13" t="s">
        <v>623</v>
      </c>
      <c r="F28" s="13"/>
      <c r="G28" s="13"/>
      <c r="H28" s="14"/>
      <c r="I28" s="20"/>
      <c r="J28" s="15" t="str" cm="1">
        <f t="array" ref="J28">IF(B28&lt;&gt;"",MATCH(TRUE, INDEX((B29:B$9601&lt;&gt;""), 0), 0) - 1,"")</f>
        <v/>
      </c>
      <c r="K28" s="19" t="b">
        <v>1</v>
      </c>
      <c r="L28" s="17"/>
      <c r="M28" s="18"/>
    </row>
    <row r="29" spans="2:13" s="10" customFormat="1" ht="25.2" customHeight="1" outlineLevel="1" x14ac:dyDescent="0.45">
      <c r="B29" s="63"/>
      <c r="C29" s="12"/>
      <c r="D29" s="77" t="s">
        <v>27</v>
      </c>
      <c r="E29" s="13" t="s">
        <v>623</v>
      </c>
      <c r="F29" s="13"/>
      <c r="G29" s="13"/>
      <c r="H29" s="14"/>
      <c r="I29" s="20"/>
      <c r="J29" s="15" t="str" cm="1">
        <f t="array" ref="J29">IF(B29&lt;&gt;"",MATCH(TRUE, INDEX((B30:B$9601&lt;&gt;""), 0), 0) - 1,"")</f>
        <v/>
      </c>
      <c r="K29" s="19" t="b">
        <v>1</v>
      </c>
      <c r="L29" s="17"/>
      <c r="M29" s="18"/>
    </row>
    <row r="30" spans="2:13" s="10" customFormat="1" ht="25.2" customHeight="1" outlineLevel="1" x14ac:dyDescent="0.45">
      <c r="B30" s="63"/>
      <c r="C30" s="12"/>
      <c r="D30" s="77" t="s">
        <v>28</v>
      </c>
      <c r="E30" s="13" t="s">
        <v>623</v>
      </c>
      <c r="F30" s="13"/>
      <c r="G30" s="13"/>
      <c r="H30" s="14"/>
      <c r="I30" s="20"/>
      <c r="J30" s="15" t="str" cm="1">
        <f t="array" ref="J30">IF(B30&lt;&gt;"",MATCH(TRUE, INDEX((B31:B$9601&lt;&gt;""), 0), 0) - 1,"")</f>
        <v/>
      </c>
      <c r="K30" s="19" t="b">
        <v>1</v>
      </c>
      <c r="L30" s="17"/>
      <c r="M30" s="18"/>
    </row>
    <row r="31" spans="2:13" s="10" customFormat="1" ht="25.2" customHeight="1" outlineLevel="1" x14ac:dyDescent="0.45">
      <c r="B31" s="63"/>
      <c r="C31" s="12"/>
      <c r="D31" s="77" t="s">
        <v>476</v>
      </c>
      <c r="E31" s="13" t="s">
        <v>623</v>
      </c>
      <c r="F31" s="13"/>
      <c r="G31" s="13"/>
      <c r="H31" s="14"/>
      <c r="I31" s="20"/>
      <c r="J31" s="15" t="str" cm="1">
        <f t="array" ref="J31">IF(B31&lt;&gt;"",MATCH(TRUE, INDEX((B32:B$9601&lt;&gt;""), 0), 0) - 1,"")</f>
        <v/>
      </c>
      <c r="K31" s="19" t="b">
        <v>0</v>
      </c>
      <c r="L31" s="17"/>
      <c r="M31" s="18"/>
    </row>
    <row r="32" spans="2:13" s="10" customFormat="1" ht="25.2" customHeight="1" x14ac:dyDescent="0.45">
      <c r="B32" s="63">
        <v>3</v>
      </c>
      <c r="C32" s="74" t="s">
        <v>467</v>
      </c>
      <c r="D32" s="77" t="s">
        <v>295</v>
      </c>
      <c r="E32" s="13" t="s">
        <v>623</v>
      </c>
      <c r="F32" s="13"/>
      <c r="G32" s="13"/>
      <c r="H32" s="14" t="str">
        <f>IF(K32=100, "FINISH", IF(K32&gt;0, "IN PROGRESS", IF(K32=0, "SCHED-OK", "")))</f>
        <v>IN PROGRESS</v>
      </c>
      <c r="I32" s="20" t="s">
        <v>19</v>
      </c>
      <c r="J32" s="15" cm="1">
        <f t="array" ref="J32">IF(B32&lt;&gt;"",MATCH(TRUE, INDEX((B33:B$9601&lt;&gt;""), 0), 0) - 1,"")</f>
        <v>9</v>
      </c>
      <c r="K32" s="16">
        <f>COUNTIF(K33:K41,TRUE)/COUNTA(K33:K41)*100</f>
        <v>77.777777777777786</v>
      </c>
      <c r="L32" s="17" t="s">
        <v>20</v>
      </c>
      <c r="M32" s="18"/>
    </row>
    <row r="33" spans="2:13" s="10" customFormat="1" ht="25.2" customHeight="1" outlineLevel="1" x14ac:dyDescent="0.45">
      <c r="B33" s="63"/>
      <c r="C33" s="12"/>
      <c r="D33" s="77" t="s">
        <v>21</v>
      </c>
      <c r="E33" s="13" t="s">
        <v>623</v>
      </c>
      <c r="F33" s="13"/>
      <c r="G33" s="13"/>
      <c r="H33" s="21"/>
      <c r="I33" s="68"/>
      <c r="J33" s="15" t="str" cm="1">
        <f t="array" ref="J33">IF(B33&lt;&gt;"",MATCH(TRUE, INDEX((B34:B$9601&lt;&gt;""), 0), 0) - 1,"")</f>
        <v/>
      </c>
      <c r="K33" s="19" t="b">
        <v>1</v>
      </c>
      <c r="L33" s="17"/>
      <c r="M33" s="18"/>
    </row>
    <row r="34" spans="2:13" s="10" customFormat="1" ht="25.2" customHeight="1" outlineLevel="1" x14ac:dyDescent="0.45">
      <c r="B34" s="63"/>
      <c r="C34" s="12"/>
      <c r="D34" s="77" t="s">
        <v>22</v>
      </c>
      <c r="E34" s="13" t="s">
        <v>623</v>
      </c>
      <c r="F34" s="13"/>
      <c r="G34" s="13"/>
      <c r="H34" s="21"/>
      <c r="I34" s="68"/>
      <c r="J34" s="15" t="str" cm="1">
        <f t="array" ref="J34">IF(B34&lt;&gt;"",MATCH(TRUE, INDEX((B36:B$9601&lt;&gt;""), 0), 0) - 1,"")</f>
        <v/>
      </c>
      <c r="K34" s="19" t="b">
        <v>1</v>
      </c>
      <c r="L34" s="17"/>
      <c r="M34" s="18"/>
    </row>
    <row r="35" spans="2:13" s="10" customFormat="1" ht="25.2" customHeight="1" outlineLevel="1" x14ac:dyDescent="0.45">
      <c r="B35" s="63"/>
      <c r="C35" s="12"/>
      <c r="D35" s="77" t="s">
        <v>25</v>
      </c>
      <c r="E35" s="13" t="s">
        <v>623</v>
      </c>
      <c r="F35" s="13"/>
      <c r="G35" s="13"/>
      <c r="H35" s="14"/>
      <c r="I35" s="20"/>
      <c r="J35" s="15"/>
      <c r="K35" s="19" t="b">
        <v>1</v>
      </c>
      <c r="L35" s="17"/>
      <c r="M35" s="18"/>
    </row>
    <row r="36" spans="2:13" s="10" customFormat="1" ht="25.2" customHeight="1" outlineLevel="1" x14ac:dyDescent="0.45">
      <c r="B36" s="63"/>
      <c r="C36" s="12"/>
      <c r="D36" s="77" t="s">
        <v>24</v>
      </c>
      <c r="E36" s="13" t="s">
        <v>623</v>
      </c>
      <c r="F36" s="13"/>
      <c r="G36" s="13"/>
      <c r="H36" s="21"/>
      <c r="I36" s="68"/>
      <c r="J36" s="15" t="str" cm="1">
        <f t="array" ref="J36">IF(B36&lt;&gt;"",MATCH(TRUE, INDEX((B37:B$9601&lt;&gt;""), 0), 0) - 1,"")</f>
        <v/>
      </c>
      <c r="K36" s="19" t="b">
        <v>1</v>
      </c>
      <c r="L36" s="17"/>
      <c r="M36" s="18"/>
    </row>
    <row r="37" spans="2:13" s="10" customFormat="1" ht="25.2" customHeight="1" outlineLevel="1" x14ac:dyDescent="0.45">
      <c r="B37" s="63"/>
      <c r="C37" s="12"/>
      <c r="D37" s="77" t="s">
        <v>26</v>
      </c>
      <c r="E37" s="13" t="s">
        <v>623</v>
      </c>
      <c r="F37" s="13"/>
      <c r="G37" s="13"/>
      <c r="H37" s="21"/>
      <c r="I37" s="68"/>
      <c r="J37" s="15" t="str" cm="1">
        <f t="array" ref="J37">IF(B37&lt;&gt;"",MATCH(TRUE, INDEX((B38:B$9601&lt;&gt;""), 0), 0) - 1,"")</f>
        <v/>
      </c>
      <c r="K37" s="19" t="b">
        <v>1</v>
      </c>
      <c r="L37" s="17"/>
      <c r="M37" s="18"/>
    </row>
    <row r="38" spans="2:13" s="10" customFormat="1" ht="25.2" customHeight="1" outlineLevel="1" x14ac:dyDescent="0.45">
      <c r="B38" s="63"/>
      <c r="C38" s="12"/>
      <c r="D38" s="77" t="s">
        <v>27</v>
      </c>
      <c r="E38" s="13" t="s">
        <v>623</v>
      </c>
      <c r="F38" s="13"/>
      <c r="G38" s="13"/>
      <c r="H38" s="21"/>
      <c r="I38" s="68"/>
      <c r="J38" s="15" t="str" cm="1">
        <f t="array" ref="J38">IF(B38&lt;&gt;"",MATCH(TRUE, INDEX((B39:B$9601&lt;&gt;""), 0), 0) - 1,"")</f>
        <v/>
      </c>
      <c r="K38" s="19" t="b">
        <v>1</v>
      </c>
      <c r="L38" s="17"/>
      <c r="M38" s="18"/>
    </row>
    <row r="39" spans="2:13" s="10" customFormat="1" ht="25.2" customHeight="1" outlineLevel="1" x14ac:dyDescent="0.45">
      <c r="B39" s="63"/>
      <c r="C39" s="12"/>
      <c r="D39" s="77" t="s">
        <v>28</v>
      </c>
      <c r="E39" s="13" t="s">
        <v>623</v>
      </c>
      <c r="F39" s="13"/>
      <c r="G39" s="13"/>
      <c r="H39" s="21"/>
      <c r="I39" s="68"/>
      <c r="J39" s="15" t="str" cm="1">
        <f t="array" ref="J39">IF(B39&lt;&gt;"",MATCH(TRUE, INDEX((B41:B$9601&lt;&gt;""), 0), 0) - 1,"")</f>
        <v/>
      </c>
      <c r="K39" s="19" t="b">
        <v>1</v>
      </c>
      <c r="L39" s="17"/>
      <c r="M39" s="18"/>
    </row>
    <row r="40" spans="2:13" s="10" customFormat="1" ht="25.2" customHeight="1" outlineLevel="1" x14ac:dyDescent="0.45">
      <c r="B40" s="63"/>
      <c r="C40" s="12"/>
      <c r="D40" s="77" t="s">
        <v>476</v>
      </c>
      <c r="E40" s="13" t="s">
        <v>623</v>
      </c>
      <c r="F40" s="13"/>
      <c r="G40" s="13"/>
      <c r="H40" s="21"/>
      <c r="I40" s="68"/>
      <c r="J40" s="15"/>
      <c r="K40" s="19" t="b">
        <v>0</v>
      </c>
      <c r="L40" s="17"/>
      <c r="M40" s="18"/>
    </row>
    <row r="41" spans="2:13" s="10" customFormat="1" ht="25.2" customHeight="1" outlineLevel="1" x14ac:dyDescent="0.45">
      <c r="B41" s="63"/>
      <c r="C41" s="12"/>
      <c r="D41" s="77" t="s">
        <v>29</v>
      </c>
      <c r="E41" s="13" t="s">
        <v>623</v>
      </c>
      <c r="F41" s="13"/>
      <c r="G41" s="13"/>
      <c r="H41" s="21"/>
      <c r="I41" s="68"/>
      <c r="J41" s="15" t="str" cm="1">
        <f t="array" ref="J41">IF(B41&lt;&gt;"",MATCH(TRUE, INDEX((B42:B$9601&lt;&gt;""), 0), 0) - 1,"")</f>
        <v/>
      </c>
      <c r="K41" s="19" t="b">
        <v>0</v>
      </c>
      <c r="L41" s="17"/>
      <c r="M41" s="18"/>
    </row>
    <row r="42" spans="2:13" s="10" customFormat="1" ht="25.2" customHeight="1" x14ac:dyDescent="0.45">
      <c r="B42" s="63">
        <v>4</v>
      </c>
      <c r="C42" s="74" t="s">
        <v>468</v>
      </c>
      <c r="D42" s="22" t="s">
        <v>296</v>
      </c>
      <c r="E42" s="13" t="s">
        <v>623</v>
      </c>
      <c r="F42" s="13"/>
      <c r="G42" s="13"/>
      <c r="H42" s="14" t="str">
        <f>IF(K42=100, "FINISH", IF(K42&gt;0, "IN PROGRESS", IF(K42=0, "SCHED-OK", "")))</f>
        <v>IN PROGRESS</v>
      </c>
      <c r="I42" s="20" t="s">
        <v>19</v>
      </c>
      <c r="J42" s="15" cm="1">
        <f t="array" ref="J42">IF(B42&lt;&gt;"",MATCH(TRUE, INDEX((B43:B$9601&lt;&gt;""), 0), 0) - 1,"")</f>
        <v>9</v>
      </c>
      <c r="K42" s="16">
        <f>COUNTIF(K43:K51,TRUE)/COUNTA(K43:K51)*100</f>
        <v>77.777777777777786</v>
      </c>
      <c r="L42" s="17" t="s">
        <v>20</v>
      </c>
      <c r="M42" s="23"/>
    </row>
    <row r="43" spans="2:13" s="10" customFormat="1" ht="25.2" customHeight="1" outlineLevel="1" x14ac:dyDescent="0.45">
      <c r="B43" s="63"/>
      <c r="C43" s="12"/>
      <c r="D43" s="77" t="s">
        <v>21</v>
      </c>
      <c r="E43" s="13" t="s">
        <v>623</v>
      </c>
      <c r="F43" s="13"/>
      <c r="G43" s="13"/>
      <c r="H43" s="14"/>
      <c r="I43" s="20"/>
      <c r="J43" s="15"/>
      <c r="K43" s="19" t="b">
        <v>1</v>
      </c>
      <c r="L43" s="17"/>
      <c r="M43" s="18"/>
    </row>
    <row r="44" spans="2:13" s="10" customFormat="1" ht="25.2" customHeight="1" outlineLevel="1" x14ac:dyDescent="0.45">
      <c r="B44" s="63"/>
      <c r="C44" s="12"/>
      <c r="D44" s="77" t="s">
        <v>22</v>
      </c>
      <c r="E44" s="13" t="s">
        <v>623</v>
      </c>
      <c r="F44" s="13"/>
      <c r="G44" s="13"/>
      <c r="H44" s="14"/>
      <c r="I44" s="20"/>
      <c r="J44" s="15"/>
      <c r="K44" s="19" t="b">
        <v>1</v>
      </c>
      <c r="L44" s="17"/>
      <c r="M44" s="18"/>
    </row>
    <row r="45" spans="2:13" s="10" customFormat="1" ht="25.2" customHeight="1" outlineLevel="1" x14ac:dyDescent="0.45">
      <c r="B45" s="63"/>
      <c r="C45" s="12"/>
      <c r="D45" s="77" t="s">
        <v>24</v>
      </c>
      <c r="E45" s="13" t="s">
        <v>623</v>
      </c>
      <c r="F45" s="13"/>
      <c r="G45" s="13"/>
      <c r="H45" s="14"/>
      <c r="I45" s="20"/>
      <c r="J45" s="15"/>
      <c r="K45" s="19" t="b">
        <v>1</v>
      </c>
      <c r="L45" s="17"/>
      <c r="M45" s="18"/>
    </row>
    <row r="46" spans="2:13" s="10" customFormat="1" ht="25.2" customHeight="1" outlineLevel="1" x14ac:dyDescent="0.45">
      <c r="B46" s="63"/>
      <c r="C46" s="12"/>
      <c r="D46" s="77" t="s">
        <v>25</v>
      </c>
      <c r="E46" s="13" t="s">
        <v>623</v>
      </c>
      <c r="F46" s="13"/>
      <c r="G46" s="13"/>
      <c r="H46" s="14"/>
      <c r="I46" s="20"/>
      <c r="J46" s="15"/>
      <c r="K46" s="19" t="b">
        <v>1</v>
      </c>
      <c r="L46" s="17"/>
      <c r="M46" s="18"/>
    </row>
    <row r="47" spans="2:13" s="10" customFormat="1" ht="25.2" customHeight="1" outlineLevel="1" x14ac:dyDescent="0.45">
      <c r="B47" s="63"/>
      <c r="C47" s="12"/>
      <c r="D47" s="77" t="s">
        <v>26</v>
      </c>
      <c r="E47" s="13" t="s">
        <v>623</v>
      </c>
      <c r="F47" s="13"/>
      <c r="G47" s="13"/>
      <c r="H47" s="14"/>
      <c r="I47" s="20"/>
      <c r="J47" s="15"/>
      <c r="K47" s="19" t="b">
        <v>1</v>
      </c>
      <c r="L47" s="17"/>
      <c r="M47" s="18"/>
    </row>
    <row r="48" spans="2:13" s="10" customFormat="1" ht="25.2" customHeight="1" outlineLevel="1" x14ac:dyDescent="0.45">
      <c r="B48" s="63"/>
      <c r="C48" s="12"/>
      <c r="D48" s="77" t="s">
        <v>27</v>
      </c>
      <c r="E48" s="13" t="s">
        <v>623</v>
      </c>
      <c r="F48" s="13"/>
      <c r="G48" s="13"/>
      <c r="H48" s="14"/>
      <c r="I48" s="20"/>
      <c r="J48" s="15"/>
      <c r="K48" s="19" t="b">
        <v>1</v>
      </c>
      <c r="L48" s="17"/>
      <c r="M48" s="18"/>
    </row>
    <row r="49" spans="2:13" s="10" customFormat="1" ht="25.2" customHeight="1" outlineLevel="1" x14ac:dyDescent="0.45">
      <c r="B49" s="63"/>
      <c r="C49" s="12"/>
      <c r="D49" s="77" t="s">
        <v>28</v>
      </c>
      <c r="E49" s="13" t="s">
        <v>623</v>
      </c>
      <c r="F49" s="13"/>
      <c r="G49" s="13"/>
      <c r="H49" s="14"/>
      <c r="I49" s="20"/>
      <c r="J49" s="15"/>
      <c r="K49" s="19" t="b">
        <v>1</v>
      </c>
      <c r="L49" s="17"/>
      <c r="M49" s="18"/>
    </row>
    <row r="50" spans="2:13" s="10" customFormat="1" ht="25.2" customHeight="1" outlineLevel="1" x14ac:dyDescent="0.45">
      <c r="B50" s="63"/>
      <c r="C50" s="12"/>
      <c r="D50" s="77" t="s">
        <v>476</v>
      </c>
      <c r="E50" s="13" t="s">
        <v>623</v>
      </c>
      <c r="F50" s="13"/>
      <c r="G50" s="13"/>
      <c r="H50" s="14"/>
      <c r="I50" s="20"/>
      <c r="J50" s="15"/>
      <c r="K50" s="19" t="b">
        <v>0</v>
      </c>
      <c r="L50" s="17"/>
      <c r="M50" s="18"/>
    </row>
    <row r="51" spans="2:13" s="10" customFormat="1" ht="25.2" customHeight="1" outlineLevel="1" x14ac:dyDescent="0.45">
      <c r="B51" s="63"/>
      <c r="C51" s="12"/>
      <c r="D51" s="77" t="s">
        <v>29</v>
      </c>
      <c r="E51" s="13" t="s">
        <v>623</v>
      </c>
      <c r="F51" s="13"/>
      <c r="G51" s="13"/>
      <c r="H51" s="14"/>
      <c r="I51" s="20"/>
      <c r="J51" s="15"/>
      <c r="K51" s="19" t="b">
        <v>0</v>
      </c>
      <c r="L51" s="17"/>
      <c r="M51" s="18"/>
    </row>
    <row r="52" spans="2:13" s="10" customFormat="1" ht="25.2" customHeight="1" x14ac:dyDescent="0.45">
      <c r="B52" s="63">
        <v>5</v>
      </c>
      <c r="C52" s="74" t="s">
        <v>469</v>
      </c>
      <c r="D52" s="22" t="s">
        <v>463</v>
      </c>
      <c r="E52" s="13" t="s">
        <v>623</v>
      </c>
      <c r="F52" s="13"/>
      <c r="G52" s="13"/>
      <c r="H52" s="14" t="str">
        <f>IF(K52=100, "FINISH", IF(K52&gt;0, "IN PROGRESS", IF(K52=0, "SCHED-OK", "")))</f>
        <v>IN PROGRESS</v>
      </c>
      <c r="I52" s="20" t="s">
        <v>19</v>
      </c>
      <c r="J52" s="15" cm="1">
        <f t="array" ref="J52">IF(B52&lt;&gt;"",MATCH(TRUE, INDEX((B53:B$9601&lt;&gt;""), 0), 0) - 1,"")</f>
        <v>9</v>
      </c>
      <c r="K52" s="16">
        <f>COUNTIF(K53:K61,TRUE)/COUNTA(K53:K61)*100</f>
        <v>55.555555555555557</v>
      </c>
      <c r="L52" s="17" t="s">
        <v>20</v>
      </c>
      <c r="M52" s="23"/>
    </row>
    <row r="53" spans="2:13" s="10" customFormat="1" ht="25.2" customHeight="1" outlineLevel="1" x14ac:dyDescent="0.45">
      <c r="B53" s="63"/>
      <c r="C53" s="12"/>
      <c r="D53" s="77" t="s">
        <v>21</v>
      </c>
      <c r="E53" s="13" t="s">
        <v>623</v>
      </c>
      <c r="F53" s="13"/>
      <c r="G53" s="13"/>
      <c r="H53" s="14"/>
      <c r="I53" s="20"/>
      <c r="J53" s="15" t="str" cm="1">
        <f t="array" ref="J53">IF(B53&lt;&gt;"",MATCH(TRUE, INDEX((B54:B$9601&lt;&gt;""), 0), 0) - 1,"")</f>
        <v/>
      </c>
      <c r="K53" s="19" t="b">
        <v>0</v>
      </c>
      <c r="L53" s="17"/>
      <c r="M53" s="18"/>
    </row>
    <row r="54" spans="2:13" s="10" customFormat="1" ht="25.2" customHeight="1" outlineLevel="1" x14ac:dyDescent="0.45">
      <c r="B54" s="63"/>
      <c r="C54" s="12"/>
      <c r="D54" s="77" t="s">
        <v>30</v>
      </c>
      <c r="E54" s="13" t="s">
        <v>623</v>
      </c>
      <c r="F54" s="13"/>
      <c r="G54" s="13"/>
      <c r="H54" s="14"/>
      <c r="I54" s="20"/>
      <c r="J54" s="15" t="str" cm="1">
        <f t="array" ref="J54">IF(B54&lt;&gt;"",MATCH(TRUE, INDEX((B55:B$9601&lt;&gt;""), 0), 0) - 1,"")</f>
        <v/>
      </c>
      <c r="K54" s="19" t="b">
        <v>0</v>
      </c>
      <c r="L54" s="17"/>
      <c r="M54" s="18"/>
    </row>
    <row r="55" spans="2:13" s="10" customFormat="1" ht="25.2" customHeight="1" outlineLevel="1" x14ac:dyDescent="0.45">
      <c r="B55" s="63"/>
      <c r="C55" s="12"/>
      <c r="D55" s="77" t="s">
        <v>22</v>
      </c>
      <c r="E55" s="13" t="s">
        <v>623</v>
      </c>
      <c r="F55" s="13"/>
      <c r="G55" s="13"/>
      <c r="H55" s="14"/>
      <c r="I55" s="20"/>
      <c r="J55" s="15" t="str" cm="1">
        <f t="array" ref="J55">IF(B55&lt;&gt;"",MATCH(TRUE, INDEX((B56:B$9601&lt;&gt;""), 0), 0) - 1,"")</f>
        <v/>
      </c>
      <c r="K55" s="19" t="b">
        <v>1</v>
      </c>
      <c r="L55" s="17"/>
      <c r="M55" s="18"/>
    </row>
    <row r="56" spans="2:13" s="10" customFormat="1" ht="25.2" customHeight="1" outlineLevel="1" x14ac:dyDescent="0.45">
      <c r="B56" s="63"/>
      <c r="C56" s="12"/>
      <c r="D56" s="77" t="s">
        <v>24</v>
      </c>
      <c r="E56" s="13" t="s">
        <v>623</v>
      </c>
      <c r="F56" s="13"/>
      <c r="G56" s="13"/>
      <c r="H56" s="14"/>
      <c r="I56" s="20"/>
      <c r="J56" s="15" t="str" cm="1">
        <f t="array" ref="J56">IF(B56&lt;&gt;"",MATCH(TRUE, INDEX((B57:B$9601&lt;&gt;""), 0), 0) - 1,"")</f>
        <v/>
      </c>
      <c r="K56" s="19" t="b">
        <v>1</v>
      </c>
      <c r="L56" s="17"/>
      <c r="M56" s="18"/>
    </row>
    <row r="57" spans="2:13" s="10" customFormat="1" ht="25.2" customHeight="1" outlineLevel="1" x14ac:dyDescent="0.45">
      <c r="B57" s="63"/>
      <c r="C57" s="12"/>
      <c r="D57" s="77" t="s">
        <v>25</v>
      </c>
      <c r="E57" s="13" t="s">
        <v>623</v>
      </c>
      <c r="F57" s="13"/>
      <c r="G57" s="13"/>
      <c r="H57" s="14"/>
      <c r="I57" s="20"/>
      <c r="J57" s="15" t="str" cm="1">
        <f t="array" ref="J57">IF(B57&lt;&gt;"",MATCH(TRUE, INDEX((B58:B$9601&lt;&gt;""), 0), 0) - 1,"")</f>
        <v/>
      </c>
      <c r="K57" s="19" t="b">
        <v>1</v>
      </c>
      <c r="L57" s="17"/>
      <c r="M57" s="18"/>
    </row>
    <row r="58" spans="2:13" s="10" customFormat="1" ht="25.2" customHeight="1" outlineLevel="1" x14ac:dyDescent="0.45">
      <c r="B58" s="63"/>
      <c r="C58" s="12"/>
      <c r="D58" s="77" t="s">
        <v>26</v>
      </c>
      <c r="E58" s="13" t="s">
        <v>623</v>
      </c>
      <c r="F58" s="13"/>
      <c r="G58" s="13"/>
      <c r="H58" s="14"/>
      <c r="I58" s="20"/>
      <c r="J58" s="15" t="str" cm="1">
        <f t="array" ref="J58">IF(B58&lt;&gt;"",MATCH(TRUE, INDEX((B59:B$9601&lt;&gt;""), 0), 0) - 1,"")</f>
        <v/>
      </c>
      <c r="K58" s="19" t="b">
        <v>1</v>
      </c>
      <c r="L58" s="17"/>
      <c r="M58" s="18"/>
    </row>
    <row r="59" spans="2:13" s="10" customFormat="1" ht="25.2" customHeight="1" outlineLevel="1" x14ac:dyDescent="0.45">
      <c r="B59" s="63"/>
      <c r="C59" s="12"/>
      <c r="D59" s="77" t="s">
        <v>27</v>
      </c>
      <c r="E59" s="13" t="s">
        <v>623</v>
      </c>
      <c r="F59" s="13"/>
      <c r="G59" s="13"/>
      <c r="H59" s="14"/>
      <c r="I59" s="20"/>
      <c r="J59" s="15" t="str" cm="1">
        <f t="array" ref="J59">IF(B59&lt;&gt;"",MATCH(TRUE, INDEX((B60:B$9601&lt;&gt;""), 0), 0) - 1,"")</f>
        <v/>
      </c>
      <c r="K59" s="19" t="b">
        <v>1</v>
      </c>
      <c r="L59" s="17"/>
      <c r="M59" s="18"/>
    </row>
    <row r="60" spans="2:13" s="10" customFormat="1" ht="25.2" customHeight="1" outlineLevel="1" x14ac:dyDescent="0.45">
      <c r="B60" s="63"/>
      <c r="C60" s="12"/>
      <c r="D60" s="77" t="s">
        <v>28</v>
      </c>
      <c r="E60" s="13" t="s">
        <v>623</v>
      </c>
      <c r="F60" s="13"/>
      <c r="G60" s="13"/>
      <c r="H60" s="14"/>
      <c r="I60" s="20"/>
      <c r="J60" s="15" t="str" cm="1">
        <f t="array" ref="J60">IF(B60&lt;&gt;"",MATCH(TRUE, INDEX((B61:B$9601&lt;&gt;""), 0), 0) - 1,"")</f>
        <v/>
      </c>
      <c r="K60" s="19" t="b">
        <v>0</v>
      </c>
      <c r="L60" s="17"/>
      <c r="M60" s="18"/>
    </row>
    <row r="61" spans="2:13" s="10" customFormat="1" ht="25.2" customHeight="1" outlineLevel="1" x14ac:dyDescent="0.45">
      <c r="B61" s="63"/>
      <c r="C61" s="12"/>
      <c r="D61" s="77" t="s">
        <v>29</v>
      </c>
      <c r="E61" s="13" t="s">
        <v>623</v>
      </c>
      <c r="F61" s="13"/>
      <c r="G61" s="13"/>
      <c r="H61" s="14"/>
      <c r="I61" s="20"/>
      <c r="J61" s="15" t="str" cm="1">
        <f t="array" ref="J61">IF(B61&lt;&gt;"",MATCH(TRUE, INDEX((B62:B$9601&lt;&gt;""), 0), 0) - 1,"")</f>
        <v/>
      </c>
      <c r="K61" s="19" t="b">
        <v>0</v>
      </c>
      <c r="L61" s="17"/>
      <c r="M61" s="18"/>
    </row>
    <row r="62" spans="2:13" s="10" customFormat="1" ht="25.2" customHeight="1" x14ac:dyDescent="0.45">
      <c r="B62" s="63">
        <v>6</v>
      </c>
      <c r="C62" s="74" t="s">
        <v>470</v>
      </c>
      <c r="D62" s="22" t="s">
        <v>464</v>
      </c>
      <c r="E62" s="13" t="s">
        <v>623</v>
      </c>
      <c r="F62" s="13"/>
      <c r="G62" s="13"/>
      <c r="H62" s="14" t="str">
        <f>IF(K62=100, "FINISH", IF(K62&gt;0, "IN PROGRESS", IF(K62=0, "SCHED-OK", "")))</f>
        <v>IN PROGRESS</v>
      </c>
      <c r="I62" s="20" t="s">
        <v>19</v>
      </c>
      <c r="J62" s="15" cm="1">
        <f t="array" ref="J62">IF(B62&lt;&gt;"",MATCH(TRUE, INDEX((B63:B$9601&lt;&gt;""), 0), 0) - 1,"")</f>
        <v>9</v>
      </c>
      <c r="K62" s="16">
        <f>COUNTIF(K63:K71,TRUE)/COUNTA(K63:K71)*100</f>
        <v>66.666666666666657</v>
      </c>
      <c r="L62" s="17" t="s">
        <v>20</v>
      </c>
      <c r="M62" s="23"/>
    </row>
    <row r="63" spans="2:13" s="10" customFormat="1" ht="25.2" customHeight="1" outlineLevel="1" x14ac:dyDescent="0.45">
      <c r="B63" s="63"/>
      <c r="C63" s="12"/>
      <c r="D63" s="77" t="s">
        <v>21</v>
      </c>
      <c r="E63" s="13" t="s">
        <v>623</v>
      </c>
      <c r="F63" s="13"/>
      <c r="G63" s="13"/>
      <c r="H63" s="14"/>
      <c r="I63" s="20"/>
      <c r="J63" s="15" t="str" cm="1">
        <f t="array" ref="J63">IF(B63&lt;&gt;"",MATCH(TRUE, INDEX((B64:B$9601&lt;&gt;""), 0), 0) - 1,"")</f>
        <v/>
      </c>
      <c r="K63" s="19" t="b">
        <v>0</v>
      </c>
      <c r="L63" s="17"/>
      <c r="M63" s="18"/>
    </row>
    <row r="64" spans="2:13" s="10" customFormat="1" ht="25.2" customHeight="1" outlineLevel="1" x14ac:dyDescent="0.45">
      <c r="B64" s="63"/>
      <c r="C64" s="12"/>
      <c r="D64" s="77" t="s">
        <v>30</v>
      </c>
      <c r="E64" s="13" t="s">
        <v>623</v>
      </c>
      <c r="F64" s="13"/>
      <c r="G64" s="13"/>
      <c r="H64" s="14"/>
      <c r="I64" s="20"/>
      <c r="J64" s="15" t="str" cm="1">
        <f t="array" ref="J64">IF(B64&lt;&gt;"",MATCH(TRUE, INDEX((B65:B$9601&lt;&gt;""), 0), 0) - 1,"")</f>
        <v/>
      </c>
      <c r="K64" s="19" t="b">
        <v>1</v>
      </c>
      <c r="L64" s="17"/>
      <c r="M64" s="18"/>
    </row>
    <row r="65" spans="2:13" s="10" customFormat="1" ht="25.2" customHeight="1" outlineLevel="1" x14ac:dyDescent="0.45">
      <c r="B65" s="63"/>
      <c r="C65" s="12"/>
      <c r="D65" s="77" t="s">
        <v>22</v>
      </c>
      <c r="E65" s="13" t="s">
        <v>623</v>
      </c>
      <c r="F65" s="13"/>
      <c r="G65" s="13"/>
      <c r="H65" s="14"/>
      <c r="I65" s="20"/>
      <c r="J65" s="15" t="str" cm="1">
        <f t="array" ref="J65">IF(B65&lt;&gt;"",MATCH(TRUE, INDEX((B66:B$9601&lt;&gt;""), 0), 0) - 1,"")</f>
        <v/>
      </c>
      <c r="K65" s="19" t="b">
        <v>1</v>
      </c>
      <c r="L65" s="17"/>
      <c r="M65" s="18"/>
    </row>
    <row r="66" spans="2:13" s="10" customFormat="1" ht="25.2" customHeight="1" outlineLevel="1" x14ac:dyDescent="0.45">
      <c r="B66" s="63"/>
      <c r="C66" s="12"/>
      <c r="D66" s="77" t="s">
        <v>24</v>
      </c>
      <c r="E66" s="13" t="s">
        <v>623</v>
      </c>
      <c r="F66" s="13"/>
      <c r="G66" s="13"/>
      <c r="H66" s="14"/>
      <c r="I66" s="20"/>
      <c r="J66" s="15" t="str" cm="1">
        <f t="array" ref="J66">IF(B66&lt;&gt;"",MATCH(TRUE, INDEX((B67:B$9601&lt;&gt;""), 0), 0) - 1,"")</f>
        <v/>
      </c>
      <c r="K66" s="19" t="b">
        <v>1</v>
      </c>
      <c r="L66" s="17"/>
      <c r="M66" s="18"/>
    </row>
    <row r="67" spans="2:13" s="10" customFormat="1" ht="25.2" customHeight="1" outlineLevel="1" x14ac:dyDescent="0.45">
      <c r="B67" s="63"/>
      <c r="C67" s="12"/>
      <c r="D67" s="77" t="s">
        <v>25</v>
      </c>
      <c r="E67" s="13" t="s">
        <v>623</v>
      </c>
      <c r="F67" s="13"/>
      <c r="G67" s="13"/>
      <c r="H67" s="14"/>
      <c r="I67" s="20"/>
      <c r="J67" s="15" t="str" cm="1">
        <f t="array" ref="J67">IF(B67&lt;&gt;"",MATCH(TRUE, INDEX((B68:B$9601&lt;&gt;""), 0), 0) - 1,"")</f>
        <v/>
      </c>
      <c r="K67" s="19" t="b">
        <v>1</v>
      </c>
      <c r="L67" s="17"/>
      <c r="M67" s="18"/>
    </row>
    <row r="68" spans="2:13" s="10" customFormat="1" ht="25.2" customHeight="1" outlineLevel="1" x14ac:dyDescent="0.45">
      <c r="B68" s="63"/>
      <c r="C68" s="12"/>
      <c r="D68" s="77" t="s">
        <v>26</v>
      </c>
      <c r="E68" s="13" t="s">
        <v>623</v>
      </c>
      <c r="F68" s="13"/>
      <c r="G68" s="13"/>
      <c r="H68" s="14"/>
      <c r="I68" s="20"/>
      <c r="J68" s="15" t="str" cm="1">
        <f t="array" ref="J68">IF(B68&lt;&gt;"",MATCH(TRUE, INDEX((B69:B$9601&lt;&gt;""), 0), 0) - 1,"")</f>
        <v/>
      </c>
      <c r="K68" s="19" t="b">
        <v>1</v>
      </c>
      <c r="L68" s="17"/>
      <c r="M68" s="18"/>
    </row>
    <row r="69" spans="2:13" s="10" customFormat="1" ht="25.2" customHeight="1" outlineLevel="1" x14ac:dyDescent="0.45">
      <c r="B69" s="63"/>
      <c r="C69" s="12"/>
      <c r="D69" s="77" t="s">
        <v>27</v>
      </c>
      <c r="E69" s="13" t="s">
        <v>623</v>
      </c>
      <c r="F69" s="13"/>
      <c r="G69" s="13"/>
      <c r="H69" s="14"/>
      <c r="I69" s="20"/>
      <c r="J69" s="15" t="str" cm="1">
        <f t="array" ref="J69">IF(B69&lt;&gt;"",MATCH(TRUE, INDEX((B70:B$9601&lt;&gt;""), 0), 0) - 1,"")</f>
        <v/>
      </c>
      <c r="K69" s="19" t="b">
        <v>1</v>
      </c>
      <c r="L69" s="17"/>
      <c r="M69" s="18"/>
    </row>
    <row r="70" spans="2:13" s="10" customFormat="1" ht="25.2" customHeight="1" outlineLevel="1" x14ac:dyDescent="0.45">
      <c r="B70" s="63"/>
      <c r="C70" s="12"/>
      <c r="D70" s="77" t="s">
        <v>28</v>
      </c>
      <c r="E70" s="13" t="s">
        <v>623</v>
      </c>
      <c r="F70" s="13"/>
      <c r="G70" s="13"/>
      <c r="H70" s="14"/>
      <c r="I70" s="20"/>
      <c r="J70" s="15" t="str" cm="1">
        <f t="array" ref="J70">IF(B70&lt;&gt;"",MATCH(TRUE, INDEX((B71:B$9601&lt;&gt;""), 0), 0) - 1,"")</f>
        <v/>
      </c>
      <c r="K70" s="19" t="b">
        <v>0</v>
      </c>
      <c r="L70" s="17"/>
      <c r="M70" s="18"/>
    </row>
    <row r="71" spans="2:13" s="10" customFormat="1" ht="25.2" customHeight="1" outlineLevel="1" x14ac:dyDescent="0.45">
      <c r="B71" s="63"/>
      <c r="C71" s="12"/>
      <c r="D71" s="77" t="s">
        <v>29</v>
      </c>
      <c r="E71" s="13" t="s">
        <v>623</v>
      </c>
      <c r="F71" s="13"/>
      <c r="G71" s="13"/>
      <c r="H71" s="14"/>
      <c r="I71" s="20"/>
      <c r="J71" s="15" t="str" cm="1">
        <f t="array" ref="J71">IF(B71&lt;&gt;"",MATCH(TRUE, INDEX((B72:B$9601&lt;&gt;""), 0), 0) - 1,"")</f>
        <v/>
      </c>
      <c r="K71" s="19" t="b">
        <v>0</v>
      </c>
      <c r="L71" s="17"/>
      <c r="M71" s="18"/>
    </row>
    <row r="72" spans="2:13" s="10" customFormat="1" ht="25.2" customHeight="1" x14ac:dyDescent="0.45">
      <c r="B72" s="63">
        <v>7</v>
      </c>
      <c r="C72" s="74" t="s">
        <v>474</v>
      </c>
      <c r="D72" s="22" t="s">
        <v>298</v>
      </c>
      <c r="E72" s="13" t="s">
        <v>623</v>
      </c>
      <c r="F72" s="13"/>
      <c r="G72" s="13"/>
      <c r="H72" s="14" t="str">
        <f>IF(K72=100, "FINISH", IF(K72&gt;0, "IN PROGRESS", IF(K72=0, "SCHED-OK", "")))</f>
        <v>IN PROGRESS</v>
      </c>
      <c r="I72" s="20" t="s">
        <v>31</v>
      </c>
      <c r="J72" s="15" cm="1">
        <f t="array" ref="J72">IF(B72&lt;&gt;"",MATCH(TRUE, INDEX((B73:B$9601&lt;&gt;""), 0), 0) - 1,"")</f>
        <v>14</v>
      </c>
      <c r="K72" s="16">
        <f>COUNTIF(K73:K85,TRUE)/COUNTA(K73:K85)*100</f>
        <v>61.53846153846154</v>
      </c>
      <c r="L72" s="17" t="s">
        <v>20</v>
      </c>
      <c r="M72" s="23"/>
    </row>
    <row r="73" spans="2:13" s="10" customFormat="1" ht="25.2" customHeight="1" outlineLevel="1" x14ac:dyDescent="0.45">
      <c r="B73" s="63"/>
      <c r="C73" s="12"/>
      <c r="D73" s="22" t="s">
        <v>299</v>
      </c>
      <c r="E73" s="13" t="s">
        <v>623</v>
      </c>
      <c r="F73" s="13"/>
      <c r="G73" s="13"/>
      <c r="H73" s="14"/>
      <c r="I73" s="20" t="s">
        <v>32</v>
      </c>
      <c r="J73" s="15" t="str" cm="1">
        <f t="array" ref="J73">IF(B73&lt;&gt;"",MATCH(TRUE, INDEX((B74:B$9601&lt;&gt;""), 0), 0) - 1,"")</f>
        <v/>
      </c>
      <c r="K73" s="19" t="b">
        <v>0</v>
      </c>
      <c r="L73" s="17"/>
      <c r="M73" s="23"/>
    </row>
    <row r="74" spans="2:13" s="10" customFormat="1" ht="25.2" customHeight="1" outlineLevel="1" x14ac:dyDescent="0.45">
      <c r="B74" s="63"/>
      <c r="C74" s="12"/>
      <c r="D74" s="22" t="s">
        <v>300</v>
      </c>
      <c r="E74" s="13" t="s">
        <v>623</v>
      </c>
      <c r="F74" s="13"/>
      <c r="G74" s="13"/>
      <c r="H74" s="14"/>
      <c r="I74" s="20" t="s">
        <v>32</v>
      </c>
      <c r="J74" s="15" t="str" cm="1">
        <f t="array" ref="J74">IF(B74&lt;&gt;"",MATCH(TRUE, INDEX((B75:B$9601&lt;&gt;""), 0), 0) - 1,"")</f>
        <v/>
      </c>
      <c r="K74" s="19" t="b">
        <v>0</v>
      </c>
      <c r="L74" s="17"/>
      <c r="M74" s="23"/>
    </row>
    <row r="75" spans="2:13" s="10" customFormat="1" ht="25.2" customHeight="1" outlineLevel="1" x14ac:dyDescent="0.45">
      <c r="B75" s="63"/>
      <c r="C75" s="12"/>
      <c r="D75" s="22" t="s">
        <v>301</v>
      </c>
      <c r="E75" s="13" t="s">
        <v>623</v>
      </c>
      <c r="F75" s="13"/>
      <c r="G75" s="13"/>
      <c r="H75" s="14"/>
      <c r="I75" s="20" t="s">
        <v>33</v>
      </c>
      <c r="J75" s="15" t="str" cm="1">
        <f t="array" ref="J75">IF(B75&lt;&gt;"",MATCH(TRUE, INDEX((B76:B$9601&lt;&gt;""), 0), 0) - 1,"")</f>
        <v/>
      </c>
      <c r="K75" s="19" t="b">
        <v>1</v>
      </c>
      <c r="L75" s="17"/>
      <c r="M75" s="23"/>
    </row>
    <row r="76" spans="2:13" s="10" customFormat="1" ht="25.2" customHeight="1" outlineLevel="1" x14ac:dyDescent="0.45">
      <c r="B76" s="63"/>
      <c r="C76" s="12"/>
      <c r="D76" s="22" t="s">
        <v>34</v>
      </c>
      <c r="E76" s="13" t="s">
        <v>623</v>
      </c>
      <c r="F76" s="13"/>
      <c r="G76" s="13"/>
      <c r="H76" s="14"/>
      <c r="I76" s="20" t="s">
        <v>33</v>
      </c>
      <c r="J76" s="15" t="str" cm="1">
        <f t="array" ref="J76">IF(B76&lt;&gt;"",MATCH(TRUE, INDEX((B77:B$9601&lt;&gt;""), 0), 0) - 1,"")</f>
        <v/>
      </c>
      <c r="K76" s="19" t="b">
        <v>1</v>
      </c>
      <c r="L76" s="17"/>
      <c r="M76" s="23"/>
    </row>
    <row r="77" spans="2:13" s="10" customFormat="1" ht="25.2" customHeight="1" outlineLevel="1" x14ac:dyDescent="0.45">
      <c r="B77" s="63"/>
      <c r="C77" s="12"/>
      <c r="D77" s="22" t="s">
        <v>35</v>
      </c>
      <c r="E77" s="13" t="s">
        <v>623</v>
      </c>
      <c r="F77" s="13"/>
      <c r="G77" s="13"/>
      <c r="H77" s="14"/>
      <c r="I77" s="20" t="s">
        <v>33</v>
      </c>
      <c r="J77" s="15" t="str" cm="1">
        <f t="array" ref="J77">IF(B77&lt;&gt;"",MATCH(TRUE, INDEX((B78:B$9601&lt;&gt;""), 0), 0) - 1,"")</f>
        <v/>
      </c>
      <c r="K77" s="19" t="b">
        <v>1</v>
      </c>
      <c r="L77" s="17"/>
      <c r="M77" s="23"/>
    </row>
    <row r="78" spans="2:13" s="10" customFormat="1" ht="25.2" customHeight="1" outlineLevel="1" x14ac:dyDescent="0.45">
      <c r="B78" s="63"/>
      <c r="C78" s="12"/>
      <c r="D78" s="22" t="s">
        <v>36</v>
      </c>
      <c r="E78" s="13" t="s">
        <v>623</v>
      </c>
      <c r="F78" s="13"/>
      <c r="G78" s="13"/>
      <c r="H78" s="14"/>
      <c r="I78" s="20" t="s">
        <v>33</v>
      </c>
      <c r="J78" s="15" t="str" cm="1">
        <f t="array" ref="J78">IF(B78&lt;&gt;"",MATCH(TRUE, INDEX((B79:B$9601&lt;&gt;""), 0), 0) - 1,"")</f>
        <v/>
      </c>
      <c r="K78" s="19" t="b">
        <v>1</v>
      </c>
      <c r="L78" s="17"/>
      <c r="M78" s="23"/>
    </row>
    <row r="79" spans="2:13" s="10" customFormat="1" ht="25.2" customHeight="1" outlineLevel="1" x14ac:dyDescent="0.45">
      <c r="B79" s="63"/>
      <c r="C79" s="12"/>
      <c r="D79" s="22" t="s">
        <v>37</v>
      </c>
      <c r="E79" s="13" t="s">
        <v>623</v>
      </c>
      <c r="F79" s="13"/>
      <c r="G79" s="13"/>
      <c r="H79" s="14"/>
      <c r="I79" s="20" t="s">
        <v>33</v>
      </c>
      <c r="J79" s="15" t="str" cm="1">
        <f t="array" ref="J79">IF(B79&lt;&gt;"",MATCH(TRUE, INDEX((B80:B$9601&lt;&gt;""), 0), 0) - 1,"")</f>
        <v/>
      </c>
      <c r="K79" s="19" t="b">
        <v>1</v>
      </c>
      <c r="L79" s="17"/>
      <c r="M79" s="23"/>
    </row>
    <row r="80" spans="2:13" s="10" customFormat="1" ht="25.2" customHeight="1" outlineLevel="1" x14ac:dyDescent="0.45">
      <c r="B80" s="63"/>
      <c r="C80" s="12"/>
      <c r="D80" s="22" t="s">
        <v>38</v>
      </c>
      <c r="E80" s="13" t="s">
        <v>623</v>
      </c>
      <c r="F80" s="13"/>
      <c r="G80" s="13"/>
      <c r="H80" s="14"/>
      <c r="I80" s="20" t="s">
        <v>33</v>
      </c>
      <c r="J80" s="15" t="str" cm="1">
        <f t="array" ref="J80">IF(B80&lt;&gt;"",MATCH(TRUE, INDEX((B81:B$9601&lt;&gt;""), 0), 0) - 1,"")</f>
        <v/>
      </c>
      <c r="K80" s="19" t="b">
        <v>1</v>
      </c>
      <c r="L80" s="17"/>
      <c r="M80" s="23"/>
    </row>
    <row r="81" spans="2:13" s="10" customFormat="1" ht="25.2" customHeight="1" outlineLevel="1" x14ac:dyDescent="0.45">
      <c r="B81" s="63"/>
      <c r="C81" s="12"/>
      <c r="D81" s="22" t="s">
        <v>39</v>
      </c>
      <c r="E81" s="13" t="s">
        <v>623</v>
      </c>
      <c r="F81" s="13"/>
      <c r="G81" s="13"/>
      <c r="H81" s="14"/>
      <c r="I81" s="20" t="s">
        <v>33</v>
      </c>
      <c r="J81" s="15" t="str" cm="1">
        <f t="array" ref="J81">IF(B81&lt;&gt;"",MATCH(TRUE, INDEX((B82:B$9601&lt;&gt;""), 0), 0) - 1,"")</f>
        <v/>
      </c>
      <c r="K81" s="19" t="b">
        <v>1</v>
      </c>
      <c r="L81" s="17"/>
      <c r="M81" s="23"/>
    </row>
    <row r="82" spans="2:13" s="10" customFormat="1" ht="25.2" customHeight="1" outlineLevel="1" x14ac:dyDescent="0.45">
      <c r="B82" s="63"/>
      <c r="C82" s="12"/>
      <c r="D82" s="22" t="s">
        <v>479</v>
      </c>
      <c r="E82" s="13" t="s">
        <v>623</v>
      </c>
      <c r="F82" s="13"/>
      <c r="G82" s="13"/>
      <c r="H82" s="14"/>
      <c r="I82" s="20" t="s">
        <v>32</v>
      </c>
      <c r="J82" s="15" t="str" cm="1">
        <f t="array" ref="J82">IF(B82&lt;&gt;"",MATCH(TRUE, INDEX((B83:B$9601&lt;&gt;""), 0), 0) - 1,"")</f>
        <v/>
      </c>
      <c r="K82" s="19" t="b">
        <v>1</v>
      </c>
      <c r="L82" s="17"/>
      <c r="M82" s="23"/>
    </row>
    <row r="83" spans="2:13" s="10" customFormat="1" ht="25.2" customHeight="1" outlineLevel="1" x14ac:dyDescent="0.45">
      <c r="B83" s="63"/>
      <c r="C83" s="12"/>
      <c r="D83" s="22" t="s">
        <v>480</v>
      </c>
      <c r="E83" s="13" t="s">
        <v>623</v>
      </c>
      <c r="F83" s="13"/>
      <c r="G83" s="13"/>
      <c r="H83" s="14"/>
      <c r="I83" s="20" t="s">
        <v>33</v>
      </c>
      <c r="J83" s="15" t="str" cm="1">
        <f t="array" ref="J83">IF(B83&lt;&gt;"",MATCH(TRUE, INDEX((B84:B$9601&lt;&gt;""), 0), 0) - 1,"")</f>
        <v/>
      </c>
      <c r="K83" s="19" t="b">
        <v>0</v>
      </c>
      <c r="L83" s="17"/>
      <c r="M83" s="23"/>
    </row>
    <row r="84" spans="2:13" s="10" customFormat="1" ht="25.2" customHeight="1" outlineLevel="1" x14ac:dyDescent="0.45">
      <c r="B84" s="63"/>
      <c r="C84" s="12"/>
      <c r="D84" s="22" t="s">
        <v>481</v>
      </c>
      <c r="E84" s="13" t="s">
        <v>623</v>
      </c>
      <c r="F84" s="13"/>
      <c r="G84" s="13"/>
      <c r="H84" s="14"/>
      <c r="I84" s="20" t="s">
        <v>33</v>
      </c>
      <c r="J84" s="15" t="str" cm="1">
        <f t="array" ref="J84">IF(B84&lt;&gt;"",MATCH(TRUE, INDEX((B85:B$9601&lt;&gt;""), 0), 0) - 1,"")</f>
        <v/>
      </c>
      <c r="K84" s="19" t="b">
        <v>0</v>
      </c>
      <c r="L84" s="17"/>
      <c r="M84" s="23"/>
    </row>
    <row r="85" spans="2:13" s="10" customFormat="1" ht="25.2" customHeight="1" outlineLevel="1" x14ac:dyDescent="0.45">
      <c r="B85" s="63"/>
      <c r="C85" s="12"/>
      <c r="D85" s="22" t="s">
        <v>482</v>
      </c>
      <c r="E85" s="13" t="s">
        <v>623</v>
      </c>
      <c r="F85" s="13"/>
      <c r="G85" s="13"/>
      <c r="H85" s="14"/>
      <c r="I85" s="20" t="s">
        <v>33</v>
      </c>
      <c r="J85" s="15" t="str" cm="1">
        <f t="array" ref="J85">IF(B85&lt;&gt;"",MATCH(TRUE, INDEX((B87:B$9601&lt;&gt;""), 0), 0) - 1,"")</f>
        <v/>
      </c>
      <c r="K85" s="19" t="b">
        <v>0</v>
      </c>
      <c r="L85" s="17"/>
      <c r="M85" s="23"/>
    </row>
    <row r="86" spans="2:13" s="10" customFormat="1" ht="25.2" customHeight="1" outlineLevel="1" x14ac:dyDescent="0.45">
      <c r="B86" s="63"/>
      <c r="C86" s="85"/>
      <c r="D86" s="22" t="s">
        <v>476</v>
      </c>
      <c r="E86" s="13" t="s">
        <v>623</v>
      </c>
      <c r="F86" s="13"/>
      <c r="G86" s="13"/>
      <c r="H86" s="14"/>
      <c r="I86" s="20" t="s">
        <v>43</v>
      </c>
      <c r="J86" s="15"/>
      <c r="K86" s="19" t="b">
        <v>0</v>
      </c>
      <c r="L86" s="17"/>
      <c r="M86" s="23"/>
    </row>
    <row r="87" spans="2:13" s="10" customFormat="1" ht="25.2" customHeight="1" x14ac:dyDescent="0.45">
      <c r="B87" s="63">
        <v>8</v>
      </c>
      <c r="C87" s="74" t="s">
        <v>475</v>
      </c>
      <c r="D87" s="22" t="s">
        <v>302</v>
      </c>
      <c r="E87" s="13" t="s">
        <v>623</v>
      </c>
      <c r="F87" s="13"/>
      <c r="G87" s="13"/>
      <c r="H87" s="14" t="str">
        <f>IF(K87=100, "FINISH", IF(K87&gt;0, "IN PROGRESS", IF(K87=0, "SCHED-OK", "")))</f>
        <v>SCHED-OK</v>
      </c>
      <c r="I87" s="20" t="s">
        <v>31</v>
      </c>
      <c r="J87" s="15" cm="1">
        <f t="array" ref="J87">IF(B87&lt;&gt;"",MATCH(TRUE, INDEX((B88:B$9601&lt;&gt;""), 0), 0) - 1,"")</f>
        <v>12</v>
      </c>
      <c r="K87" s="16">
        <f>COUNTIF(K88:K99,TRUE)/COUNTA(K88:K99)*100</f>
        <v>0</v>
      </c>
      <c r="L87" s="17" t="s">
        <v>20</v>
      </c>
      <c r="M87" s="23"/>
    </row>
    <row r="88" spans="2:13" s="10" customFormat="1" ht="25.2" customHeight="1" outlineLevel="1" x14ac:dyDescent="0.45">
      <c r="B88" s="63"/>
      <c r="C88" s="24"/>
      <c r="D88" s="22" t="s">
        <v>303</v>
      </c>
      <c r="E88" s="13" t="s">
        <v>623</v>
      </c>
      <c r="F88" s="13"/>
      <c r="G88" s="13"/>
      <c r="H88" s="14"/>
      <c r="I88" s="20" t="s">
        <v>32</v>
      </c>
      <c r="J88" s="15" t="str" cm="1">
        <f t="array" ref="J88">IF(B88&lt;&gt;"",MATCH(TRUE, INDEX((B89:B$9601&lt;&gt;""), 0), 0) - 1,"")</f>
        <v/>
      </c>
      <c r="K88" s="19" t="b">
        <v>0</v>
      </c>
      <c r="L88" s="17"/>
      <c r="M88" s="23"/>
    </row>
    <row r="89" spans="2:13" s="10" customFormat="1" ht="25.2" customHeight="1" outlineLevel="1" x14ac:dyDescent="0.45">
      <c r="B89" s="63"/>
      <c r="C89" s="24"/>
      <c r="D89" s="22" t="s">
        <v>304</v>
      </c>
      <c r="E89" s="13" t="s">
        <v>623</v>
      </c>
      <c r="F89" s="13"/>
      <c r="G89" s="13"/>
      <c r="H89" s="14"/>
      <c r="I89" s="20" t="s">
        <v>32</v>
      </c>
      <c r="J89" s="15" t="str" cm="1">
        <f t="array" ref="J89">IF(B89&lt;&gt;"",MATCH(TRUE, INDEX((B90:B$9601&lt;&gt;""), 0), 0) - 1,"")</f>
        <v/>
      </c>
      <c r="K89" s="19" t="b">
        <v>0</v>
      </c>
      <c r="L89" s="17"/>
      <c r="M89" s="23"/>
    </row>
    <row r="90" spans="2:13" s="10" customFormat="1" ht="25.2" customHeight="1" outlineLevel="1" x14ac:dyDescent="0.45">
      <c r="B90" s="63"/>
      <c r="C90" s="24"/>
      <c r="D90" s="22" t="s">
        <v>305</v>
      </c>
      <c r="E90" s="13" t="s">
        <v>623</v>
      </c>
      <c r="F90" s="13"/>
      <c r="G90" s="13"/>
      <c r="H90" s="14"/>
      <c r="I90" s="20" t="s">
        <v>33</v>
      </c>
      <c r="J90" s="15" t="str" cm="1">
        <f t="array" ref="J90">IF(B90&lt;&gt;"",MATCH(TRUE, INDEX((B91:B$9601&lt;&gt;""), 0), 0) - 1,"")</f>
        <v/>
      </c>
      <c r="K90" s="19" t="b">
        <v>0</v>
      </c>
      <c r="L90" s="17"/>
      <c r="M90" s="23"/>
    </row>
    <row r="91" spans="2:13" s="10" customFormat="1" ht="25.2" customHeight="1" outlineLevel="1" x14ac:dyDescent="0.45">
      <c r="B91" s="63"/>
      <c r="C91" s="24"/>
      <c r="D91" s="22" t="s">
        <v>34</v>
      </c>
      <c r="E91" s="13" t="s">
        <v>623</v>
      </c>
      <c r="F91" s="13"/>
      <c r="G91" s="13"/>
      <c r="H91" s="14"/>
      <c r="I91" s="20" t="s">
        <v>33</v>
      </c>
      <c r="J91" s="15" t="str" cm="1">
        <f t="array" ref="J91">IF(B91&lt;&gt;"",MATCH(TRUE, INDEX((B92:B$9601&lt;&gt;""), 0), 0) - 1,"")</f>
        <v/>
      </c>
      <c r="K91" s="19" t="b">
        <v>0</v>
      </c>
      <c r="L91" s="17"/>
      <c r="M91" s="23"/>
    </row>
    <row r="92" spans="2:13" s="10" customFormat="1" ht="25.2" customHeight="1" outlineLevel="1" x14ac:dyDescent="0.45">
      <c r="B92" s="63"/>
      <c r="C92" s="24"/>
      <c r="D92" s="22" t="s">
        <v>35</v>
      </c>
      <c r="E92" s="13" t="s">
        <v>623</v>
      </c>
      <c r="F92" s="13"/>
      <c r="G92" s="13"/>
      <c r="H92" s="14"/>
      <c r="I92" s="20" t="s">
        <v>33</v>
      </c>
      <c r="J92" s="15" t="str" cm="1">
        <f t="array" ref="J92">IF(B92&lt;&gt;"",MATCH(TRUE, INDEX((B93:B$9601&lt;&gt;""), 0), 0) - 1,"")</f>
        <v/>
      </c>
      <c r="K92" s="19" t="b">
        <v>0</v>
      </c>
      <c r="L92" s="17"/>
      <c r="M92" s="23"/>
    </row>
    <row r="93" spans="2:13" s="10" customFormat="1" ht="25.2" customHeight="1" outlineLevel="1" x14ac:dyDescent="0.45">
      <c r="B93" s="63"/>
      <c r="C93" s="24"/>
      <c r="D93" s="22" t="s">
        <v>36</v>
      </c>
      <c r="E93" s="13" t="s">
        <v>623</v>
      </c>
      <c r="F93" s="13"/>
      <c r="G93" s="13"/>
      <c r="H93" s="14"/>
      <c r="I93" s="20" t="s">
        <v>33</v>
      </c>
      <c r="J93" s="15" t="str" cm="1">
        <f t="array" ref="J93">IF(B93&lt;&gt;"",MATCH(TRUE, INDEX((B94:B$9601&lt;&gt;""), 0), 0) - 1,"")</f>
        <v/>
      </c>
      <c r="K93" s="19" t="b">
        <v>0</v>
      </c>
      <c r="L93" s="17"/>
      <c r="M93" s="23"/>
    </row>
    <row r="94" spans="2:13" s="10" customFormat="1" ht="25.2" customHeight="1" outlineLevel="1" x14ac:dyDescent="0.45">
      <c r="B94" s="63"/>
      <c r="C94" s="24"/>
      <c r="D94" s="22" t="s">
        <v>37</v>
      </c>
      <c r="E94" s="13" t="s">
        <v>623</v>
      </c>
      <c r="F94" s="13"/>
      <c r="G94" s="13"/>
      <c r="H94" s="14"/>
      <c r="I94" s="20" t="s">
        <v>33</v>
      </c>
      <c r="J94" s="15" t="str" cm="1">
        <f t="array" ref="J94">IF(B94&lt;&gt;"",MATCH(TRUE, INDEX((B95:B$9601&lt;&gt;""), 0), 0) - 1,"")</f>
        <v/>
      </c>
      <c r="K94" s="19" t="b">
        <v>0</v>
      </c>
      <c r="L94" s="17"/>
      <c r="M94" s="23"/>
    </row>
    <row r="95" spans="2:13" s="10" customFormat="1" ht="25.2" customHeight="1" outlineLevel="1" x14ac:dyDescent="0.45">
      <c r="B95" s="63"/>
      <c r="C95" s="24"/>
      <c r="D95" s="22" t="s">
        <v>38</v>
      </c>
      <c r="E95" s="13" t="s">
        <v>623</v>
      </c>
      <c r="F95" s="13"/>
      <c r="G95" s="13"/>
      <c r="H95" s="14"/>
      <c r="I95" s="20" t="s">
        <v>33</v>
      </c>
      <c r="J95" s="15" t="str" cm="1">
        <f t="array" ref="J95">IF(B95&lt;&gt;"",MATCH(TRUE, INDEX((B96:B$9601&lt;&gt;""), 0), 0) - 1,"")</f>
        <v/>
      </c>
      <c r="K95" s="19" t="b">
        <v>0</v>
      </c>
      <c r="L95" s="17"/>
      <c r="M95" s="23"/>
    </row>
    <row r="96" spans="2:13" s="10" customFormat="1" ht="25.2" customHeight="1" outlineLevel="1" x14ac:dyDescent="0.45">
      <c r="B96" s="63"/>
      <c r="C96" s="24"/>
      <c r="D96" s="22" t="s">
        <v>39</v>
      </c>
      <c r="E96" s="13" t="s">
        <v>623</v>
      </c>
      <c r="F96" s="13"/>
      <c r="G96" s="13"/>
      <c r="H96" s="14"/>
      <c r="I96" s="20" t="s">
        <v>33</v>
      </c>
      <c r="J96" s="15" t="str" cm="1">
        <f t="array" ref="J96">IF(B96&lt;&gt;"",MATCH(TRUE, INDEX((B97:B$9601&lt;&gt;""), 0), 0) - 1,"")</f>
        <v/>
      </c>
      <c r="K96" s="19" t="b">
        <v>0</v>
      </c>
      <c r="L96" s="17"/>
      <c r="M96" s="23"/>
    </row>
    <row r="97" spans="2:13" s="10" customFormat="1" ht="25.2" customHeight="1" outlineLevel="1" x14ac:dyDescent="0.45">
      <c r="B97" s="63"/>
      <c r="C97" s="24"/>
      <c r="D97" s="22" t="s">
        <v>483</v>
      </c>
      <c r="E97" s="13" t="s">
        <v>623</v>
      </c>
      <c r="F97" s="13"/>
      <c r="G97" s="13"/>
      <c r="H97" s="14"/>
      <c r="I97" s="20" t="s">
        <v>32</v>
      </c>
      <c r="J97" s="15" t="str" cm="1">
        <f t="array" ref="J97">IF(B97&lt;&gt;"",MATCH(TRUE, INDEX((B99:B$9601&lt;&gt;""), 0), 0) - 1,"")</f>
        <v/>
      </c>
      <c r="K97" s="19" t="b">
        <v>0</v>
      </c>
      <c r="L97" s="17"/>
      <c r="M97" s="23"/>
    </row>
    <row r="98" spans="2:13" s="10" customFormat="1" ht="25.2" customHeight="1" outlineLevel="1" x14ac:dyDescent="0.45">
      <c r="B98" s="63"/>
      <c r="C98" s="85"/>
      <c r="D98" s="22" t="s">
        <v>476</v>
      </c>
      <c r="E98" s="13" t="s">
        <v>623</v>
      </c>
      <c r="F98" s="13"/>
      <c r="G98" s="13"/>
      <c r="H98" s="14"/>
      <c r="I98" s="20" t="s">
        <v>43</v>
      </c>
      <c r="J98" s="15"/>
      <c r="K98" s="19" t="b">
        <v>0</v>
      </c>
      <c r="L98" s="17"/>
      <c r="M98" s="23"/>
    </row>
    <row r="99" spans="2:13" s="10" customFormat="1" ht="25.2" customHeight="1" outlineLevel="1" x14ac:dyDescent="0.45">
      <c r="B99" s="63"/>
      <c r="C99" s="24"/>
      <c r="D99" s="22" t="s">
        <v>484</v>
      </c>
      <c r="E99" s="13" t="s">
        <v>623</v>
      </c>
      <c r="F99" s="13"/>
      <c r="G99" s="13"/>
      <c r="H99" s="14"/>
      <c r="I99" s="20" t="s">
        <v>33</v>
      </c>
      <c r="J99" s="15" t="str" cm="1">
        <f t="array" ref="J99">IF(B99&lt;&gt;"",MATCH(TRUE, INDEX((B100:B$9601&lt;&gt;""), 0), 0) - 1,"")</f>
        <v/>
      </c>
      <c r="K99" s="19" t="b">
        <v>0</v>
      </c>
      <c r="L99" s="17"/>
      <c r="M99" s="23"/>
    </row>
    <row r="100" spans="2:13" s="10" customFormat="1" ht="25.2" customHeight="1" x14ac:dyDescent="0.45">
      <c r="B100" s="63">
        <v>9</v>
      </c>
      <c r="C100" s="74" t="s">
        <v>471</v>
      </c>
      <c r="D100" s="22" t="s">
        <v>306</v>
      </c>
      <c r="E100" s="13" t="s">
        <v>623</v>
      </c>
      <c r="F100" s="13"/>
      <c r="G100" s="13"/>
      <c r="H100" s="14" t="str">
        <f>IF(K100=100, "FINISH", IF(K100&gt;0, "IN PROGRESS", IF(K100=0, "SCHED-OK", "")))</f>
        <v>IN PROGRESS</v>
      </c>
      <c r="I100" s="20" t="s">
        <v>40</v>
      </c>
      <c r="J100" s="15" cm="1">
        <f t="array" ref="J100">IF(B100&lt;&gt;"",MATCH(TRUE, INDEX((B101:B$9601&lt;&gt;""), 0), 0) - 1,"")</f>
        <v>10</v>
      </c>
      <c r="K100" s="16">
        <f>COUNTIF(K101:K110,TRUE)/COUNTA(K101:K110)*100</f>
        <v>80</v>
      </c>
      <c r="L100" s="17" t="s">
        <v>20</v>
      </c>
      <c r="M100" s="23"/>
    </row>
    <row r="101" spans="2:13" s="10" customFormat="1" ht="25.2" customHeight="1" outlineLevel="1" x14ac:dyDescent="0.45">
      <c r="B101" s="63"/>
      <c r="C101" s="24"/>
      <c r="D101" s="22" t="s">
        <v>34</v>
      </c>
      <c r="E101" s="13" t="s">
        <v>623</v>
      </c>
      <c r="F101" s="13"/>
      <c r="G101" s="13"/>
      <c r="H101" s="14"/>
      <c r="I101" s="20" t="s">
        <v>33</v>
      </c>
      <c r="J101" s="15" t="str" cm="1">
        <f t="array" ref="J101">IF(B101&lt;&gt;"",MATCH(TRUE, INDEX((B102:B$9601&lt;&gt;""), 0), 0) - 1,"")</f>
        <v/>
      </c>
      <c r="K101" s="19" t="b">
        <v>1</v>
      </c>
      <c r="L101" s="17"/>
      <c r="M101" s="23"/>
    </row>
    <row r="102" spans="2:13" s="10" customFormat="1" ht="25.2" customHeight="1" outlineLevel="1" x14ac:dyDescent="0.45">
      <c r="B102" s="63"/>
      <c r="C102" s="24"/>
      <c r="D102" s="22" t="s">
        <v>35</v>
      </c>
      <c r="E102" s="13" t="s">
        <v>623</v>
      </c>
      <c r="F102" s="13"/>
      <c r="G102" s="13"/>
      <c r="H102" s="14"/>
      <c r="I102" s="20" t="s">
        <v>33</v>
      </c>
      <c r="J102" s="15" t="str" cm="1">
        <f t="array" ref="J102">IF(B102&lt;&gt;"",MATCH(TRUE, INDEX((B103:B$9601&lt;&gt;""), 0), 0) - 1,"")</f>
        <v/>
      </c>
      <c r="K102" s="19" t="b">
        <v>1</v>
      </c>
      <c r="L102" s="17"/>
      <c r="M102" s="23"/>
    </row>
    <row r="103" spans="2:13" s="10" customFormat="1" ht="25.2" customHeight="1" outlineLevel="1" x14ac:dyDescent="0.45">
      <c r="B103" s="63"/>
      <c r="C103" s="24"/>
      <c r="D103" s="22" t="s">
        <v>41</v>
      </c>
      <c r="E103" s="13" t="s">
        <v>623</v>
      </c>
      <c r="F103" s="13"/>
      <c r="G103" s="13"/>
      <c r="H103" s="14"/>
      <c r="I103" s="20" t="s">
        <v>33</v>
      </c>
      <c r="J103" s="15" t="str" cm="1">
        <f t="array" ref="J103">IF(B103&lt;&gt;"",MATCH(TRUE, INDEX((B104:B$9601&lt;&gt;""), 0), 0) - 1,"")</f>
        <v/>
      </c>
      <c r="K103" s="19" t="b">
        <v>1</v>
      </c>
      <c r="L103" s="17"/>
      <c r="M103" s="23"/>
    </row>
    <row r="104" spans="2:13" s="10" customFormat="1" ht="25.2" customHeight="1" outlineLevel="1" x14ac:dyDescent="0.45">
      <c r="B104" s="63"/>
      <c r="C104" s="24"/>
      <c r="D104" s="22" t="s">
        <v>42</v>
      </c>
      <c r="E104" s="13" t="s">
        <v>623</v>
      </c>
      <c r="F104" s="13"/>
      <c r="G104" s="13"/>
      <c r="H104" s="14"/>
      <c r="I104" s="20" t="s">
        <v>33</v>
      </c>
      <c r="J104" s="15" t="str" cm="1">
        <f t="array" ref="J104">IF(B104&lt;&gt;"",MATCH(TRUE, INDEX((B105:B$9601&lt;&gt;""), 0), 0) - 1,"")</f>
        <v/>
      </c>
      <c r="K104" s="19" t="b">
        <v>1</v>
      </c>
      <c r="L104" s="17"/>
      <c r="M104" s="23"/>
    </row>
    <row r="105" spans="2:13" s="10" customFormat="1" ht="25.2" customHeight="1" outlineLevel="1" x14ac:dyDescent="0.45">
      <c r="B105" s="63"/>
      <c r="C105" s="24"/>
      <c r="D105" s="22" t="s">
        <v>37</v>
      </c>
      <c r="E105" s="13" t="s">
        <v>623</v>
      </c>
      <c r="F105" s="13"/>
      <c r="G105" s="13"/>
      <c r="H105" s="14"/>
      <c r="I105" s="20" t="s">
        <v>33</v>
      </c>
      <c r="J105" s="15" t="str" cm="1">
        <f t="array" ref="J105">IF(B105&lt;&gt;"",MATCH(TRUE, INDEX((B106:B$9601&lt;&gt;""), 0), 0) - 1,"")</f>
        <v/>
      </c>
      <c r="K105" s="19" t="b">
        <v>1</v>
      </c>
      <c r="L105" s="17"/>
      <c r="M105" s="23"/>
    </row>
    <row r="106" spans="2:13" s="10" customFormat="1" ht="25.2" customHeight="1" outlineLevel="1" x14ac:dyDescent="0.45">
      <c r="B106" s="63"/>
      <c r="C106" s="24"/>
      <c r="D106" s="22" t="s">
        <v>38</v>
      </c>
      <c r="E106" s="13" t="s">
        <v>623</v>
      </c>
      <c r="F106" s="13"/>
      <c r="G106" s="13"/>
      <c r="H106" s="14"/>
      <c r="I106" s="20" t="s">
        <v>33</v>
      </c>
      <c r="J106" s="15" t="str" cm="1">
        <f t="array" ref="J106">IF(B106&lt;&gt;"",MATCH(TRUE, INDEX((B107:B$9601&lt;&gt;""), 0), 0) - 1,"")</f>
        <v/>
      </c>
      <c r="K106" s="19" t="b">
        <v>1</v>
      </c>
      <c r="L106" s="17"/>
      <c r="M106" s="23"/>
    </row>
    <row r="107" spans="2:13" s="10" customFormat="1" ht="25.2" customHeight="1" outlineLevel="1" x14ac:dyDescent="0.45">
      <c r="B107" s="63"/>
      <c r="C107" s="24"/>
      <c r="D107" s="22" t="s">
        <v>39</v>
      </c>
      <c r="E107" s="13" t="s">
        <v>623</v>
      </c>
      <c r="F107" s="13"/>
      <c r="G107" s="13"/>
      <c r="H107" s="14"/>
      <c r="I107" s="20" t="s">
        <v>33</v>
      </c>
      <c r="J107" s="15" t="str" cm="1">
        <f t="array" ref="J107">IF(B107&lt;&gt;"",MATCH(TRUE, INDEX((B108:B$9601&lt;&gt;""), 0), 0) - 1,"")</f>
        <v/>
      </c>
      <c r="K107" s="19" t="b">
        <v>1</v>
      </c>
      <c r="L107" s="17"/>
      <c r="M107" s="23"/>
    </row>
    <row r="108" spans="2:13" s="10" customFormat="1" ht="25.2" customHeight="1" outlineLevel="1" x14ac:dyDescent="0.45">
      <c r="B108" s="63"/>
      <c r="C108" s="24"/>
      <c r="D108" s="22" t="s">
        <v>307</v>
      </c>
      <c r="E108" s="13" t="s">
        <v>623</v>
      </c>
      <c r="F108" s="13"/>
      <c r="G108" s="13"/>
      <c r="H108" s="14"/>
      <c r="I108" s="20" t="s">
        <v>43</v>
      </c>
      <c r="J108" s="15" t="str" cm="1">
        <f t="array" ref="J108">IF(B108&lt;&gt;"",MATCH(TRUE, INDEX((B109:B$9601&lt;&gt;""), 0), 0) - 1,"")</f>
        <v/>
      </c>
      <c r="K108" s="19" t="b">
        <v>0</v>
      </c>
      <c r="L108" s="17"/>
      <c r="M108" s="23"/>
    </row>
    <row r="109" spans="2:13" s="10" customFormat="1" ht="25.2" customHeight="1" outlineLevel="1" x14ac:dyDescent="0.45">
      <c r="B109" s="63"/>
      <c r="C109" s="24"/>
      <c r="D109" s="22" t="s">
        <v>308</v>
      </c>
      <c r="E109" s="13" t="s">
        <v>623</v>
      </c>
      <c r="F109" s="13"/>
      <c r="G109" s="13"/>
      <c r="H109" s="14"/>
      <c r="I109" s="20" t="s">
        <v>43</v>
      </c>
      <c r="J109" s="15" t="str" cm="1">
        <f t="array" ref="J109">IF(B109&lt;&gt;"",MATCH(TRUE, INDEX((B110:B$9601&lt;&gt;""), 0), 0) - 1,"")</f>
        <v/>
      </c>
      <c r="K109" s="19" t="b">
        <v>0</v>
      </c>
      <c r="L109" s="17"/>
      <c r="M109" s="23"/>
    </row>
    <row r="110" spans="2:13" s="10" customFormat="1" ht="25.2" customHeight="1" outlineLevel="1" x14ac:dyDescent="0.45">
      <c r="B110" s="63"/>
      <c r="C110" s="24"/>
      <c r="D110" s="22" t="s">
        <v>485</v>
      </c>
      <c r="E110" s="13" t="s">
        <v>623</v>
      </c>
      <c r="F110" s="13"/>
      <c r="G110" s="13"/>
      <c r="H110" s="14"/>
      <c r="I110" s="20" t="s">
        <v>33</v>
      </c>
      <c r="J110" s="15" t="str" cm="1">
        <f t="array" ref="J110">IF(B110&lt;&gt;"",MATCH(TRUE, INDEX((B111:B$9601&lt;&gt;""), 0), 0) - 1,"")</f>
        <v/>
      </c>
      <c r="K110" s="19" t="b">
        <v>1</v>
      </c>
      <c r="L110" s="17"/>
      <c r="M110" s="23"/>
    </row>
    <row r="111" spans="2:13" s="10" customFormat="1" ht="25.2" customHeight="1" x14ac:dyDescent="0.45">
      <c r="B111" s="63">
        <v>10</v>
      </c>
      <c r="C111" s="74" t="s">
        <v>472</v>
      </c>
      <c r="D111" s="22" t="s">
        <v>309</v>
      </c>
      <c r="E111" s="13" t="s">
        <v>623</v>
      </c>
      <c r="F111" s="13"/>
      <c r="G111" s="13"/>
      <c r="H111" s="14" t="str">
        <f>IF(K111=100, "FINISH", IF(K111&gt;0, "IN PROGRESS", IF(K111=0, "SCHED-OK", "")))</f>
        <v>IN PROGRESS</v>
      </c>
      <c r="I111" s="20" t="s">
        <v>19</v>
      </c>
      <c r="J111" s="15" cm="1">
        <f t="array" ref="J111">IF(B111&lt;&gt;"",MATCH(TRUE, INDEX((B112:B$9601&lt;&gt;""), 0), 0) - 1,"")</f>
        <v>6</v>
      </c>
      <c r="K111" s="16">
        <f>COUNTIF(K112:K117,TRUE)/COUNTA(K112:K117)*100</f>
        <v>66.666666666666657</v>
      </c>
      <c r="L111" s="17" t="s">
        <v>20</v>
      </c>
      <c r="M111" s="23"/>
    </row>
    <row r="112" spans="2:13" s="10" customFormat="1" ht="25.2" customHeight="1" outlineLevel="1" x14ac:dyDescent="0.45">
      <c r="B112" s="63"/>
      <c r="C112" s="24"/>
      <c r="D112" s="22" t="s">
        <v>310</v>
      </c>
      <c r="E112" s="13" t="s">
        <v>623</v>
      </c>
      <c r="F112" s="13"/>
      <c r="G112" s="13"/>
      <c r="H112" s="14"/>
      <c r="I112" s="20"/>
      <c r="J112" s="15" t="str" cm="1">
        <f t="array" ref="J112">IF(B112&lt;&gt;"",MATCH(TRUE, INDEX((B113:B$9601&lt;&gt;""), 0), 0) - 1,"")</f>
        <v/>
      </c>
      <c r="K112" s="19" t="b">
        <v>1</v>
      </c>
      <c r="L112" s="17"/>
      <c r="M112" s="23"/>
    </row>
    <row r="113" spans="2:13" s="10" customFormat="1" ht="25.2" customHeight="1" outlineLevel="1" x14ac:dyDescent="0.45">
      <c r="B113" s="63"/>
      <c r="C113" s="24"/>
      <c r="D113" s="22" t="s">
        <v>311</v>
      </c>
      <c r="E113" s="13" t="s">
        <v>623</v>
      </c>
      <c r="F113" s="13"/>
      <c r="G113" s="13"/>
      <c r="H113" s="14"/>
      <c r="I113" s="20"/>
      <c r="J113" s="15" t="str" cm="1">
        <f t="array" ref="J113">IF(B113&lt;&gt;"",MATCH(TRUE, INDEX((B114:B$9601&lt;&gt;""), 0), 0) - 1,"")</f>
        <v/>
      </c>
      <c r="K113" s="19" t="b">
        <v>1</v>
      </c>
      <c r="L113" s="17"/>
      <c r="M113" s="23"/>
    </row>
    <row r="114" spans="2:13" s="10" customFormat="1" ht="25.2" customHeight="1" outlineLevel="1" x14ac:dyDescent="0.45">
      <c r="B114" s="63"/>
      <c r="C114" s="24"/>
      <c r="D114" s="78" t="s">
        <v>44</v>
      </c>
      <c r="E114" s="13" t="s">
        <v>623</v>
      </c>
      <c r="F114" s="13"/>
      <c r="G114" s="13"/>
      <c r="H114" s="14"/>
      <c r="I114" s="20"/>
      <c r="J114" s="15" t="str" cm="1">
        <f t="array" ref="J114">IF(B114&lt;&gt;"",MATCH(TRUE, INDEX((B115:B$9601&lt;&gt;""), 0), 0) - 1,"")</f>
        <v/>
      </c>
      <c r="K114" s="19" t="b">
        <v>1</v>
      </c>
      <c r="L114" s="17"/>
      <c r="M114" s="23"/>
    </row>
    <row r="115" spans="2:13" s="10" customFormat="1" ht="25.2" customHeight="1" outlineLevel="1" x14ac:dyDescent="0.45">
      <c r="B115" s="63"/>
      <c r="C115" s="24"/>
      <c r="D115" s="78" t="s">
        <v>45</v>
      </c>
      <c r="E115" s="13" t="s">
        <v>623</v>
      </c>
      <c r="F115" s="13"/>
      <c r="G115" s="13"/>
      <c r="H115" s="14"/>
      <c r="I115" s="20"/>
      <c r="J115" s="15" t="str" cm="1">
        <f t="array" ref="J115">IF(B115&lt;&gt;"",MATCH(TRUE, INDEX((B116:B$9601&lt;&gt;""), 0), 0) - 1,"")</f>
        <v/>
      </c>
      <c r="K115" s="19" t="b">
        <v>1</v>
      </c>
      <c r="L115" s="17"/>
      <c r="M115" s="23"/>
    </row>
    <row r="116" spans="2:13" s="10" customFormat="1" ht="25.2" customHeight="1" outlineLevel="1" x14ac:dyDescent="0.45">
      <c r="B116" s="63"/>
      <c r="C116" s="24"/>
      <c r="D116" s="78" t="s">
        <v>46</v>
      </c>
      <c r="E116" s="13" t="s">
        <v>623</v>
      </c>
      <c r="F116" s="13"/>
      <c r="G116" s="13"/>
      <c r="H116" s="14"/>
      <c r="I116" s="20"/>
      <c r="J116" s="15" t="str" cm="1">
        <f t="array" ref="J116">IF(B116&lt;&gt;"",MATCH(TRUE, INDEX((B117:B$9601&lt;&gt;""), 0), 0) - 1,"")</f>
        <v/>
      </c>
      <c r="K116" s="19" t="b">
        <v>0</v>
      </c>
      <c r="L116" s="17"/>
      <c r="M116" s="23"/>
    </row>
    <row r="117" spans="2:13" s="10" customFormat="1" ht="25.2" customHeight="1" outlineLevel="1" x14ac:dyDescent="0.45">
      <c r="B117" s="63"/>
      <c r="C117" s="24"/>
      <c r="D117" s="78" t="s">
        <v>47</v>
      </c>
      <c r="E117" s="13" t="s">
        <v>623</v>
      </c>
      <c r="F117" s="13"/>
      <c r="G117" s="13"/>
      <c r="H117" s="14"/>
      <c r="I117" s="20"/>
      <c r="J117" s="15" t="str" cm="1">
        <f t="array" ref="J117">IF(B117&lt;&gt;"",MATCH(TRUE, INDEX((B118:B$9601&lt;&gt;""), 0), 0) - 1,"")</f>
        <v/>
      </c>
      <c r="K117" s="19" t="b">
        <v>0</v>
      </c>
      <c r="L117" s="17"/>
      <c r="M117" s="23"/>
    </row>
    <row r="118" spans="2:13" s="10" customFormat="1" ht="25.2" customHeight="1" x14ac:dyDescent="0.45">
      <c r="B118" s="63">
        <v>11</v>
      </c>
      <c r="C118" s="74" t="s">
        <v>473</v>
      </c>
      <c r="D118" s="22" t="s">
        <v>312</v>
      </c>
      <c r="E118" s="13" t="s">
        <v>623</v>
      </c>
      <c r="F118" s="13"/>
      <c r="G118" s="13"/>
      <c r="H118" s="14" t="str">
        <f>IF(K118=100, "FINISH", IF(K118&gt;0, "IN PROGRESS", IF(K118=0, "SCHED-OK", "")))</f>
        <v>IN PROGRESS</v>
      </c>
      <c r="I118" s="20" t="s">
        <v>40</v>
      </c>
      <c r="J118" s="15" cm="1">
        <f t="array" ref="J118">IF(B118&lt;&gt;"",MATCH(TRUE, INDEX((B119:B$9601&lt;&gt;""), 0), 0) - 1,"")</f>
        <v>10</v>
      </c>
      <c r="K118" s="16">
        <f>COUNTIF(K119:K128,TRUE)/COUNTA(K119:K128)*100</f>
        <v>80</v>
      </c>
      <c r="L118" s="17" t="s">
        <v>20</v>
      </c>
      <c r="M118" s="23"/>
    </row>
    <row r="119" spans="2:13" s="10" customFormat="1" ht="25.2" customHeight="1" outlineLevel="1" x14ac:dyDescent="0.45">
      <c r="B119" s="63"/>
      <c r="C119" s="24"/>
      <c r="D119" s="22" t="s">
        <v>34</v>
      </c>
      <c r="E119" s="13" t="s">
        <v>623</v>
      </c>
      <c r="F119" s="13"/>
      <c r="G119" s="13"/>
      <c r="H119" s="14"/>
      <c r="I119" s="20"/>
      <c r="J119" s="15" t="str" cm="1">
        <f t="array" ref="J119">IF(B119&lt;&gt;"",MATCH(TRUE, INDEX((B120:B$9601&lt;&gt;""), 0), 0) - 1,"")</f>
        <v/>
      </c>
      <c r="K119" s="19" t="b">
        <v>1</v>
      </c>
      <c r="L119" s="17"/>
      <c r="M119" s="23"/>
    </row>
    <row r="120" spans="2:13" s="10" customFormat="1" ht="25.2" customHeight="1" outlineLevel="1" x14ac:dyDescent="0.45">
      <c r="B120" s="63"/>
      <c r="C120" s="24"/>
      <c r="D120" s="22" t="s">
        <v>35</v>
      </c>
      <c r="E120" s="13" t="s">
        <v>623</v>
      </c>
      <c r="F120" s="13"/>
      <c r="G120" s="13"/>
      <c r="H120" s="14"/>
      <c r="I120" s="20"/>
      <c r="J120" s="15" t="str" cm="1">
        <f t="array" ref="J120">IF(B120&lt;&gt;"",MATCH(TRUE, INDEX((B121:B$9601&lt;&gt;""), 0), 0) - 1,"")</f>
        <v/>
      </c>
      <c r="K120" s="19" t="b">
        <v>1</v>
      </c>
      <c r="L120" s="17"/>
      <c r="M120" s="23"/>
    </row>
    <row r="121" spans="2:13" s="10" customFormat="1" ht="25.2" customHeight="1" outlineLevel="1" x14ac:dyDescent="0.45">
      <c r="B121" s="63"/>
      <c r="C121" s="24"/>
      <c r="D121" s="22" t="s">
        <v>41</v>
      </c>
      <c r="E121" s="13" t="s">
        <v>623</v>
      </c>
      <c r="F121" s="13"/>
      <c r="G121" s="13"/>
      <c r="H121" s="14"/>
      <c r="I121" s="20"/>
      <c r="J121" s="15" t="str" cm="1">
        <f t="array" ref="J121">IF(B121&lt;&gt;"",MATCH(TRUE, INDEX((B122:B$9601&lt;&gt;""), 0), 0) - 1,"")</f>
        <v/>
      </c>
      <c r="K121" s="19" t="b">
        <v>1</v>
      </c>
      <c r="L121" s="17"/>
      <c r="M121" s="23"/>
    </row>
    <row r="122" spans="2:13" s="10" customFormat="1" ht="25.2" customHeight="1" outlineLevel="1" x14ac:dyDescent="0.45">
      <c r="B122" s="63"/>
      <c r="C122" s="24"/>
      <c r="D122" s="22" t="s">
        <v>42</v>
      </c>
      <c r="E122" s="13" t="s">
        <v>623</v>
      </c>
      <c r="F122" s="13"/>
      <c r="G122" s="13"/>
      <c r="H122" s="14"/>
      <c r="I122" s="20"/>
      <c r="J122" s="15" t="str" cm="1">
        <f t="array" ref="J122">IF(B122&lt;&gt;"",MATCH(TRUE, INDEX((B123:B$9601&lt;&gt;""), 0), 0) - 1,"")</f>
        <v/>
      </c>
      <c r="K122" s="19" t="b">
        <v>1</v>
      </c>
      <c r="L122" s="17"/>
      <c r="M122" s="23"/>
    </row>
    <row r="123" spans="2:13" s="10" customFormat="1" ht="25.2" customHeight="1" outlineLevel="1" x14ac:dyDescent="0.45">
      <c r="B123" s="63"/>
      <c r="C123" s="24"/>
      <c r="D123" s="22" t="s">
        <v>37</v>
      </c>
      <c r="E123" s="13" t="s">
        <v>623</v>
      </c>
      <c r="F123" s="13"/>
      <c r="G123" s="13"/>
      <c r="H123" s="14"/>
      <c r="I123" s="20"/>
      <c r="J123" s="15" t="str" cm="1">
        <f t="array" ref="J123">IF(B123&lt;&gt;"",MATCH(TRUE, INDEX((B124:B$9601&lt;&gt;""), 0), 0) - 1,"")</f>
        <v/>
      </c>
      <c r="K123" s="19" t="b">
        <v>1</v>
      </c>
      <c r="L123" s="17"/>
      <c r="M123" s="23"/>
    </row>
    <row r="124" spans="2:13" s="10" customFormat="1" ht="25.2" customHeight="1" outlineLevel="1" x14ac:dyDescent="0.45">
      <c r="B124" s="63"/>
      <c r="C124" s="24"/>
      <c r="D124" s="22" t="s">
        <v>38</v>
      </c>
      <c r="E124" s="13" t="s">
        <v>623</v>
      </c>
      <c r="F124" s="13"/>
      <c r="G124" s="13"/>
      <c r="H124" s="14"/>
      <c r="I124" s="20"/>
      <c r="J124" s="15" t="str" cm="1">
        <f t="array" ref="J124">IF(B124&lt;&gt;"",MATCH(TRUE, INDEX((B125:B$9601&lt;&gt;""), 0), 0) - 1,"")</f>
        <v/>
      </c>
      <c r="K124" s="19" t="b">
        <v>1</v>
      </c>
      <c r="L124" s="17"/>
      <c r="M124" s="23"/>
    </row>
    <row r="125" spans="2:13" s="10" customFormat="1" ht="25.2" customHeight="1" outlineLevel="1" x14ac:dyDescent="0.45">
      <c r="B125" s="63"/>
      <c r="C125" s="24"/>
      <c r="D125" s="22" t="s">
        <v>39</v>
      </c>
      <c r="E125" s="13" t="s">
        <v>623</v>
      </c>
      <c r="F125" s="13"/>
      <c r="G125" s="13"/>
      <c r="H125" s="14"/>
      <c r="I125" s="20"/>
      <c r="J125" s="15" t="str" cm="1">
        <f t="array" ref="J125">IF(B125&lt;&gt;"",MATCH(TRUE, INDEX((B126:B$9601&lt;&gt;""), 0), 0) - 1,"")</f>
        <v/>
      </c>
      <c r="K125" s="19" t="b">
        <v>1</v>
      </c>
      <c r="L125" s="17"/>
      <c r="M125" s="23"/>
    </row>
    <row r="126" spans="2:13" s="10" customFormat="1" ht="25.2" customHeight="1" outlineLevel="1" x14ac:dyDescent="0.45">
      <c r="B126" s="63"/>
      <c r="C126" s="24"/>
      <c r="D126" s="22" t="s">
        <v>313</v>
      </c>
      <c r="E126" s="13" t="s">
        <v>623</v>
      </c>
      <c r="F126" s="13"/>
      <c r="G126" s="13"/>
      <c r="H126" s="14"/>
      <c r="I126" s="20"/>
      <c r="J126" s="15" t="str" cm="1">
        <f t="array" ref="J126">IF(B126&lt;&gt;"",MATCH(TRUE, INDEX((B127:B$9601&lt;&gt;""), 0), 0) - 1,"")</f>
        <v/>
      </c>
      <c r="K126" s="19" t="b">
        <v>0</v>
      </c>
      <c r="L126" s="17"/>
      <c r="M126" s="23"/>
    </row>
    <row r="127" spans="2:13" s="10" customFormat="1" ht="25.2" customHeight="1" outlineLevel="1" x14ac:dyDescent="0.45">
      <c r="B127" s="63"/>
      <c r="C127" s="24"/>
      <c r="D127" s="22" t="s">
        <v>314</v>
      </c>
      <c r="E127" s="13" t="s">
        <v>623</v>
      </c>
      <c r="F127" s="13"/>
      <c r="G127" s="13"/>
      <c r="H127" s="14"/>
      <c r="I127" s="20"/>
      <c r="J127" s="15" t="str" cm="1">
        <f t="array" ref="J127">IF(B127&lt;&gt;"",MATCH(TRUE, INDEX((B128:B$9601&lt;&gt;""), 0), 0) - 1,"")</f>
        <v/>
      </c>
      <c r="K127" s="19" t="b">
        <v>0</v>
      </c>
      <c r="L127" s="17"/>
      <c r="M127" s="23"/>
    </row>
    <row r="128" spans="2:13" s="10" customFormat="1" ht="25.2" customHeight="1" outlineLevel="1" x14ac:dyDescent="0.45">
      <c r="B128" s="63"/>
      <c r="C128" s="24"/>
      <c r="D128" s="22" t="s">
        <v>486</v>
      </c>
      <c r="E128" s="13" t="s">
        <v>623</v>
      </c>
      <c r="F128" s="13"/>
      <c r="G128" s="13"/>
      <c r="H128" s="14"/>
      <c r="I128" s="20"/>
      <c r="J128" s="15" t="str" cm="1">
        <f t="array" ref="J128">IF(B128&lt;&gt;"",MATCH(TRUE, INDEX((B129:B$9601&lt;&gt;""), 0), 0) - 1,"")</f>
        <v/>
      </c>
      <c r="K128" s="19" t="b">
        <v>1</v>
      </c>
      <c r="L128" s="17"/>
      <c r="M128" s="23"/>
    </row>
    <row r="129" spans="2:13" s="10" customFormat="1" ht="25.2" customHeight="1" x14ac:dyDescent="0.45">
      <c r="B129" s="63">
        <v>12</v>
      </c>
      <c r="C129" s="74" t="s">
        <v>467</v>
      </c>
      <c r="D129" s="22" t="s">
        <v>315</v>
      </c>
      <c r="E129" s="13" t="s">
        <v>623</v>
      </c>
      <c r="F129" s="13"/>
      <c r="G129" s="13"/>
      <c r="H129" s="14" t="str">
        <f>IF(K129=100, "FINISH", IF(K129&gt;0, "IN PROGRESS", IF(K129=0, "SCHED-OK", "")))</f>
        <v>IN PROGRESS</v>
      </c>
      <c r="I129" s="20" t="s">
        <v>19</v>
      </c>
      <c r="J129" s="15" cm="1">
        <f t="array" ref="J129">IF(B129&lt;&gt;"",MATCH(TRUE, INDEX((B130:B$9601&lt;&gt;""), 0), 0) - 1,"")</f>
        <v>6</v>
      </c>
      <c r="K129" s="16">
        <f>COUNTIF(K130:K135,TRUE)/COUNTA(K130:K135)*100</f>
        <v>83.333333333333343</v>
      </c>
      <c r="L129" s="17" t="s">
        <v>20</v>
      </c>
      <c r="M129" s="18"/>
    </row>
    <row r="130" spans="2:13" s="10" customFormat="1" ht="25.2" customHeight="1" outlineLevel="1" x14ac:dyDescent="0.45">
      <c r="B130" s="63"/>
      <c r="C130" s="24"/>
      <c r="D130" s="22" t="s">
        <v>316</v>
      </c>
      <c r="E130" s="13" t="s">
        <v>623</v>
      </c>
      <c r="F130" s="13"/>
      <c r="G130" s="13"/>
      <c r="H130" s="14"/>
      <c r="I130" s="20"/>
      <c r="J130" s="15" t="str" cm="1">
        <f t="array" ref="J130">IF(B130&lt;&gt;"",MATCH(TRUE, INDEX((B131:B$9601&lt;&gt;""), 0), 0) - 1,"")</f>
        <v/>
      </c>
      <c r="K130" s="19" t="b">
        <v>1</v>
      </c>
      <c r="L130" s="17"/>
      <c r="M130" s="23"/>
    </row>
    <row r="131" spans="2:13" s="10" customFormat="1" ht="25.2" customHeight="1" outlineLevel="1" x14ac:dyDescent="0.45">
      <c r="B131" s="63"/>
      <c r="C131" s="24"/>
      <c r="D131" s="22" t="s">
        <v>317</v>
      </c>
      <c r="E131" s="13" t="s">
        <v>623</v>
      </c>
      <c r="F131" s="13"/>
      <c r="G131" s="13"/>
      <c r="H131" s="14"/>
      <c r="I131" s="20"/>
      <c r="J131" s="15" t="str" cm="1">
        <f t="array" ref="J131">IF(B131&lt;&gt;"",MATCH(TRUE, INDEX((B132:B$9601&lt;&gt;""), 0), 0) - 1,"")</f>
        <v/>
      </c>
      <c r="K131" s="19" t="b">
        <v>1</v>
      </c>
      <c r="L131" s="17"/>
      <c r="M131" s="23"/>
    </row>
    <row r="132" spans="2:13" s="10" customFormat="1" ht="25.2" customHeight="1" outlineLevel="1" x14ac:dyDescent="0.45">
      <c r="B132" s="63"/>
      <c r="C132" s="24"/>
      <c r="D132" s="78" t="s">
        <v>48</v>
      </c>
      <c r="E132" s="13" t="s">
        <v>623</v>
      </c>
      <c r="F132" s="13"/>
      <c r="G132" s="13"/>
      <c r="H132" s="14"/>
      <c r="I132" s="20"/>
      <c r="J132" s="15" t="str" cm="1">
        <f t="array" ref="J132">IF(B132&lt;&gt;"",MATCH(TRUE, INDEX((B133:B$9601&lt;&gt;""), 0), 0) - 1,"")</f>
        <v/>
      </c>
      <c r="K132" s="19" t="b">
        <v>1</v>
      </c>
      <c r="L132" s="17"/>
      <c r="M132" s="23"/>
    </row>
    <row r="133" spans="2:13" s="10" customFormat="1" ht="25.2" customHeight="1" outlineLevel="1" x14ac:dyDescent="0.45">
      <c r="B133" s="63"/>
      <c r="C133" s="24"/>
      <c r="D133" s="78" t="s">
        <v>49</v>
      </c>
      <c r="E133" s="13" t="s">
        <v>623</v>
      </c>
      <c r="F133" s="13"/>
      <c r="G133" s="13"/>
      <c r="H133" s="14"/>
      <c r="I133" s="20"/>
      <c r="J133" s="15" t="str" cm="1">
        <f t="array" ref="J133">IF(B133&lt;&gt;"",MATCH(TRUE, INDEX((B134:B$9601&lt;&gt;""), 0), 0) - 1,"")</f>
        <v/>
      </c>
      <c r="K133" s="19" t="b">
        <v>1</v>
      </c>
      <c r="L133" s="17"/>
      <c r="M133" s="23"/>
    </row>
    <row r="134" spans="2:13" s="10" customFormat="1" ht="25.2" customHeight="1" outlineLevel="1" x14ac:dyDescent="0.45">
      <c r="B134" s="63"/>
      <c r="C134" s="24"/>
      <c r="D134" s="78" t="s">
        <v>50</v>
      </c>
      <c r="E134" s="13" t="s">
        <v>623</v>
      </c>
      <c r="F134" s="13"/>
      <c r="G134" s="13"/>
      <c r="H134" s="14"/>
      <c r="I134" s="20"/>
      <c r="J134" s="15" t="str" cm="1">
        <f t="array" ref="J134">IF(B134&lt;&gt;"",MATCH(TRUE, INDEX((B135:B$9601&lt;&gt;""), 0), 0) - 1,"")</f>
        <v/>
      </c>
      <c r="K134" s="19" t="b">
        <v>1</v>
      </c>
      <c r="L134" s="17"/>
      <c r="M134" s="23"/>
    </row>
    <row r="135" spans="2:13" s="10" customFormat="1" ht="25.2" customHeight="1" outlineLevel="1" x14ac:dyDescent="0.45">
      <c r="B135" s="63"/>
      <c r="C135" s="12"/>
      <c r="D135" s="22" t="s">
        <v>318</v>
      </c>
      <c r="E135" s="13" t="s">
        <v>623</v>
      </c>
      <c r="F135" s="13"/>
      <c r="G135" s="13"/>
      <c r="H135" s="14"/>
      <c r="I135" s="20"/>
      <c r="J135" s="15" t="str" cm="1">
        <f t="array" ref="J135">IF(B135&lt;&gt;"",MATCH(TRUE, INDEX((B136:B$9601&lt;&gt;""), 0), 0) - 1,"")</f>
        <v/>
      </c>
      <c r="K135" s="19" t="b">
        <v>0</v>
      </c>
      <c r="L135" s="17"/>
      <c r="M135" s="18"/>
    </row>
    <row r="136" spans="2:13" s="10" customFormat="1" ht="25.2" customHeight="1" x14ac:dyDescent="0.45">
      <c r="B136" s="63">
        <v>13</v>
      </c>
      <c r="C136" s="74" t="s">
        <v>467</v>
      </c>
      <c r="D136" s="22" t="s">
        <v>319</v>
      </c>
      <c r="E136" s="13" t="s">
        <v>623</v>
      </c>
      <c r="F136" s="13"/>
      <c r="G136" s="13"/>
      <c r="H136" s="14" t="str">
        <f>IF(K136=100, "FINISH", IF(K136&gt;0, "IN PROGRESS", IF(K136=0, "SCHED-OK", "")))</f>
        <v>IN PROGRESS</v>
      </c>
      <c r="I136" s="20" t="s">
        <v>40</v>
      </c>
      <c r="J136" s="15" cm="1">
        <f t="array" ref="J136">IF(B136&lt;&gt;"",MATCH(TRUE, INDEX((B137:B$9601&lt;&gt;""), 0), 0) - 1,"")</f>
        <v>10</v>
      </c>
      <c r="K136" s="16">
        <f>COUNTIF(K137:K145,TRUE)/COUNTA(K137:K145)*100</f>
        <v>77.777777777777786</v>
      </c>
      <c r="L136" s="17" t="s">
        <v>20</v>
      </c>
      <c r="M136" s="18"/>
    </row>
    <row r="137" spans="2:13" s="10" customFormat="1" ht="25.2" customHeight="1" outlineLevel="1" x14ac:dyDescent="0.45">
      <c r="B137" s="63"/>
      <c r="C137" s="24"/>
      <c r="D137" s="22" t="s">
        <v>34</v>
      </c>
      <c r="E137" s="13" t="s">
        <v>623</v>
      </c>
      <c r="F137" s="13"/>
      <c r="G137" s="13"/>
      <c r="H137" s="14"/>
      <c r="I137" s="20"/>
      <c r="J137" s="15" t="str" cm="1">
        <f t="array" ref="J137">IF(B137&lt;&gt;"",MATCH(TRUE, INDEX((B138:B$9601&lt;&gt;""), 0), 0) - 1,"")</f>
        <v/>
      </c>
      <c r="K137" s="19" t="b">
        <v>1</v>
      </c>
      <c r="L137" s="17"/>
      <c r="M137" s="23"/>
    </row>
    <row r="138" spans="2:13" s="10" customFormat="1" ht="25.2" customHeight="1" outlineLevel="1" x14ac:dyDescent="0.45">
      <c r="B138" s="63"/>
      <c r="C138" s="24"/>
      <c r="D138" s="22" t="s">
        <v>35</v>
      </c>
      <c r="E138" s="13" t="s">
        <v>623</v>
      </c>
      <c r="F138" s="13"/>
      <c r="G138" s="13"/>
      <c r="H138" s="14"/>
      <c r="I138" s="20"/>
      <c r="J138" s="15" t="str" cm="1">
        <f t="array" ref="J138">IF(B138&lt;&gt;"",MATCH(TRUE, INDEX((B139:B$9601&lt;&gt;""), 0), 0) - 1,"")</f>
        <v/>
      </c>
      <c r="K138" s="19" t="b">
        <v>1</v>
      </c>
      <c r="L138" s="17"/>
      <c r="M138" s="23"/>
    </row>
    <row r="139" spans="2:13" s="10" customFormat="1" ht="25.2" customHeight="1" outlineLevel="1" x14ac:dyDescent="0.45">
      <c r="B139" s="63"/>
      <c r="C139" s="24"/>
      <c r="D139" s="22" t="s">
        <v>41</v>
      </c>
      <c r="E139" s="13" t="s">
        <v>623</v>
      </c>
      <c r="F139" s="13"/>
      <c r="G139" s="13"/>
      <c r="H139" s="14"/>
      <c r="I139" s="20"/>
      <c r="J139" s="15" t="str" cm="1">
        <f t="array" ref="J139">IF(B139&lt;&gt;"",MATCH(TRUE, INDEX((B140:B$9601&lt;&gt;""), 0), 0) - 1,"")</f>
        <v/>
      </c>
      <c r="K139" s="19" t="b">
        <v>1</v>
      </c>
      <c r="L139" s="17"/>
      <c r="M139" s="23"/>
    </row>
    <row r="140" spans="2:13" s="10" customFormat="1" ht="25.2" customHeight="1" outlineLevel="1" x14ac:dyDescent="0.45">
      <c r="B140" s="63"/>
      <c r="C140" s="24"/>
      <c r="D140" s="22" t="s">
        <v>42</v>
      </c>
      <c r="E140" s="13" t="s">
        <v>623</v>
      </c>
      <c r="F140" s="13"/>
      <c r="G140" s="13"/>
      <c r="H140" s="14"/>
      <c r="I140" s="20"/>
      <c r="J140" s="15" t="str" cm="1">
        <f t="array" ref="J140">IF(B140&lt;&gt;"",MATCH(TRUE, INDEX((B141:B$9601&lt;&gt;""), 0), 0) - 1,"")</f>
        <v/>
      </c>
      <c r="K140" s="19" t="b">
        <v>1</v>
      </c>
      <c r="L140" s="17"/>
      <c r="M140" s="23"/>
    </row>
    <row r="141" spans="2:13" s="10" customFormat="1" ht="25.2" customHeight="1" outlineLevel="1" x14ac:dyDescent="0.45">
      <c r="B141" s="63"/>
      <c r="C141" s="24"/>
      <c r="D141" s="22" t="s">
        <v>37</v>
      </c>
      <c r="E141" s="13" t="s">
        <v>623</v>
      </c>
      <c r="F141" s="13"/>
      <c r="G141" s="13"/>
      <c r="H141" s="14"/>
      <c r="I141" s="20"/>
      <c r="J141" s="15" t="str" cm="1">
        <f t="array" ref="J141">IF(B141&lt;&gt;"",MATCH(TRUE, INDEX((B142:B$9601&lt;&gt;""), 0), 0) - 1,"")</f>
        <v/>
      </c>
      <c r="K141" s="19" t="b">
        <v>1</v>
      </c>
      <c r="L141" s="17"/>
      <c r="M141" s="23"/>
    </row>
    <row r="142" spans="2:13" s="10" customFormat="1" ht="25.2" customHeight="1" outlineLevel="1" x14ac:dyDescent="0.45">
      <c r="B142" s="63"/>
      <c r="C142" s="24"/>
      <c r="D142" s="22" t="s">
        <v>38</v>
      </c>
      <c r="E142" s="13" t="s">
        <v>623</v>
      </c>
      <c r="F142" s="13"/>
      <c r="G142" s="13"/>
      <c r="H142" s="14"/>
      <c r="I142" s="20"/>
      <c r="J142" s="15" t="str" cm="1">
        <f t="array" ref="J142">IF(B142&lt;&gt;"",MATCH(TRUE, INDEX((B143:B$9601&lt;&gt;""), 0), 0) - 1,"")</f>
        <v/>
      </c>
      <c r="K142" s="19" t="b">
        <v>1</v>
      </c>
      <c r="L142" s="17"/>
      <c r="M142" s="23"/>
    </row>
    <row r="143" spans="2:13" s="10" customFormat="1" ht="25.2" customHeight="1" outlineLevel="1" x14ac:dyDescent="0.45">
      <c r="B143" s="63"/>
      <c r="C143" s="24"/>
      <c r="D143" s="22" t="s">
        <v>39</v>
      </c>
      <c r="E143" s="13" t="s">
        <v>623</v>
      </c>
      <c r="F143" s="13"/>
      <c r="G143" s="13"/>
      <c r="H143" s="14"/>
      <c r="I143" s="20"/>
      <c r="J143" s="15" t="str" cm="1">
        <f t="array" ref="J143">IF(B143&lt;&gt;"",MATCH(TRUE, INDEX((B144:B$9601&lt;&gt;""), 0), 0) - 1,"")</f>
        <v/>
      </c>
      <c r="K143" s="19" t="b">
        <v>1</v>
      </c>
      <c r="L143" s="17"/>
      <c r="M143" s="23"/>
    </row>
    <row r="144" spans="2:13" s="10" customFormat="1" ht="25.2" customHeight="1" outlineLevel="1" x14ac:dyDescent="0.45">
      <c r="B144" s="63"/>
      <c r="C144" s="24"/>
      <c r="D144" s="22" t="s">
        <v>320</v>
      </c>
      <c r="E144" s="13" t="s">
        <v>623</v>
      </c>
      <c r="F144" s="13"/>
      <c r="G144" s="13"/>
      <c r="H144" s="14"/>
      <c r="I144" s="20"/>
      <c r="J144" s="15" t="str" cm="1">
        <f t="array" ref="J144">IF(B144&lt;&gt;"",MATCH(TRUE, INDEX((B145:B$9601&lt;&gt;""), 0), 0) - 1,"")</f>
        <v/>
      </c>
      <c r="K144" s="19" t="b">
        <v>0</v>
      </c>
      <c r="L144" s="17"/>
      <c r="M144" s="23"/>
    </row>
    <row r="145" spans="2:13" s="10" customFormat="1" ht="25.2" customHeight="1" outlineLevel="1" x14ac:dyDescent="0.45">
      <c r="B145" s="63"/>
      <c r="C145" s="24"/>
      <c r="D145" s="22" t="s">
        <v>487</v>
      </c>
      <c r="E145" s="13" t="s">
        <v>623</v>
      </c>
      <c r="F145" s="13"/>
      <c r="G145" s="13"/>
      <c r="H145" s="14"/>
      <c r="I145" s="20"/>
      <c r="J145" s="15" t="str" cm="1">
        <f t="array" ref="J145">IF(B145&lt;&gt;"",MATCH(TRUE, INDEX((B146:B$9601&lt;&gt;""), 0), 0) - 1,"")</f>
        <v/>
      </c>
      <c r="K145" s="19" t="b">
        <v>0</v>
      </c>
      <c r="L145" s="17"/>
      <c r="M145" s="23"/>
    </row>
    <row r="146" spans="2:13" s="10" customFormat="1" ht="25.2" customHeight="1" outlineLevel="1" x14ac:dyDescent="0.45">
      <c r="B146" s="63"/>
      <c r="C146" s="24"/>
      <c r="D146" s="22" t="s">
        <v>321</v>
      </c>
      <c r="E146" s="13" t="s">
        <v>623</v>
      </c>
      <c r="F146" s="13"/>
      <c r="G146" s="13"/>
      <c r="H146" s="14"/>
      <c r="I146" s="20"/>
      <c r="J146" s="15" t="str" cm="1">
        <f t="array" ref="J146">IF(B146&lt;&gt;"",MATCH(TRUE, INDEX((B147:B$9601&lt;&gt;""), 0), 0) - 1,"")</f>
        <v/>
      </c>
      <c r="K146" s="19" t="b">
        <v>0</v>
      </c>
      <c r="L146" s="17"/>
      <c r="M146" s="23"/>
    </row>
    <row r="147" spans="2:13" s="10" customFormat="1" ht="25.2" customHeight="1" x14ac:dyDescent="0.45">
      <c r="B147" s="63">
        <v>14</v>
      </c>
      <c r="C147" s="74" t="s">
        <v>467</v>
      </c>
      <c r="D147" s="22" t="s">
        <v>322</v>
      </c>
      <c r="E147" s="13" t="s">
        <v>623</v>
      </c>
      <c r="F147" s="13"/>
      <c r="G147" s="13"/>
      <c r="H147" s="14" t="str">
        <f>IF(K147=100, "FINISH", IF(K147&gt;0, "IN PROGRESS", IF(K147=0, "SCHED-OK", "")))</f>
        <v>SCHED-OK</v>
      </c>
      <c r="I147" s="20" t="s">
        <v>19</v>
      </c>
      <c r="J147" s="15" cm="1">
        <f t="array" ref="J147">IF(B147&lt;&gt;"",MATCH(TRUE, INDEX((B148:B$9601&lt;&gt;""), 0), 0) - 1,"")</f>
        <v>7</v>
      </c>
      <c r="K147" s="16">
        <f>IF(J147&gt;0, COUNTIF(K148:INDEX(K148:K$9577, J147), TRUE)/J147*100, "")</f>
        <v>0</v>
      </c>
      <c r="L147" s="17" t="s">
        <v>20</v>
      </c>
      <c r="M147" s="18"/>
    </row>
    <row r="148" spans="2:13" s="10" customFormat="1" ht="25.2" customHeight="1" outlineLevel="1" x14ac:dyDescent="0.45">
      <c r="B148" s="63"/>
      <c r="C148" s="24"/>
      <c r="D148" s="22" t="s">
        <v>323</v>
      </c>
      <c r="E148" s="13" t="s">
        <v>623</v>
      </c>
      <c r="F148" s="13"/>
      <c r="G148" s="13"/>
      <c r="H148" s="14"/>
      <c r="I148" s="20"/>
      <c r="J148" s="15" t="str" cm="1">
        <f t="array" ref="J148">IF(B148&lt;&gt;"",MATCH(TRUE, INDEX((B149:B$9601&lt;&gt;""), 0), 0) - 1,"")</f>
        <v/>
      </c>
      <c r="K148" s="19" t="b">
        <v>0</v>
      </c>
      <c r="L148" s="17"/>
      <c r="M148" s="23"/>
    </row>
    <row r="149" spans="2:13" s="10" customFormat="1" ht="25.2" customHeight="1" outlineLevel="1" x14ac:dyDescent="0.45">
      <c r="B149" s="63"/>
      <c r="C149" s="24"/>
      <c r="D149" s="22" t="s">
        <v>324</v>
      </c>
      <c r="E149" s="13" t="s">
        <v>623</v>
      </c>
      <c r="F149" s="13"/>
      <c r="G149" s="13"/>
      <c r="H149" s="14"/>
      <c r="I149" s="20"/>
      <c r="J149" s="15" t="str" cm="1">
        <f t="array" ref="J149">IF(B149&lt;&gt;"",MATCH(TRUE, INDEX((B150:B$9601&lt;&gt;""), 0), 0) - 1,"")</f>
        <v/>
      </c>
      <c r="K149" s="19" t="b">
        <v>0</v>
      </c>
      <c r="L149" s="17"/>
      <c r="M149" s="23"/>
    </row>
    <row r="150" spans="2:13" s="10" customFormat="1" ht="25.2" customHeight="1" outlineLevel="1" x14ac:dyDescent="0.45">
      <c r="B150" s="63"/>
      <c r="C150" s="24"/>
      <c r="D150" s="22" t="s">
        <v>51</v>
      </c>
      <c r="E150" s="13" t="s">
        <v>623</v>
      </c>
      <c r="F150" s="13"/>
      <c r="G150" s="13"/>
      <c r="H150" s="14"/>
      <c r="I150" s="20"/>
      <c r="J150" s="15" t="str" cm="1">
        <f t="array" ref="J150">IF(B150&lt;&gt;"",MATCH(TRUE, INDEX((B151:B$9601&lt;&gt;""), 0), 0) - 1,"")</f>
        <v/>
      </c>
      <c r="K150" s="19" t="b">
        <v>0</v>
      </c>
      <c r="L150" s="17"/>
      <c r="M150" s="23"/>
    </row>
    <row r="151" spans="2:13" s="10" customFormat="1" ht="25.2" customHeight="1" outlineLevel="1" x14ac:dyDescent="0.45">
      <c r="B151" s="63"/>
      <c r="C151" s="24"/>
      <c r="D151" s="22" t="s">
        <v>52</v>
      </c>
      <c r="E151" s="13" t="s">
        <v>623</v>
      </c>
      <c r="F151" s="13"/>
      <c r="G151" s="13"/>
      <c r="H151" s="14"/>
      <c r="I151" s="20"/>
      <c r="J151" s="15" t="str" cm="1">
        <f t="array" ref="J151">IF(B151&lt;&gt;"",MATCH(TRUE, INDEX((B152:B$9601&lt;&gt;""), 0), 0) - 1,"")</f>
        <v/>
      </c>
      <c r="K151" s="19" t="b">
        <v>0</v>
      </c>
      <c r="L151" s="17"/>
      <c r="M151" s="23"/>
    </row>
    <row r="152" spans="2:13" s="10" customFormat="1" ht="25.2" customHeight="1" outlineLevel="1" x14ac:dyDescent="0.45">
      <c r="B152" s="63"/>
      <c r="C152" s="24"/>
      <c r="D152" s="22" t="s">
        <v>53</v>
      </c>
      <c r="E152" s="13" t="s">
        <v>623</v>
      </c>
      <c r="F152" s="13"/>
      <c r="G152" s="13"/>
      <c r="H152" s="14"/>
      <c r="I152" s="20"/>
      <c r="J152" s="15" t="str" cm="1">
        <f t="array" ref="J152">IF(B152&lt;&gt;"",MATCH(TRUE, INDEX((B153:B$9601&lt;&gt;""), 0), 0) - 1,"")</f>
        <v/>
      </c>
      <c r="K152" s="19" t="b">
        <v>0</v>
      </c>
      <c r="L152" s="17"/>
      <c r="M152" s="23"/>
    </row>
    <row r="153" spans="2:13" s="10" customFormat="1" ht="25.2" customHeight="1" outlineLevel="1" x14ac:dyDescent="0.45">
      <c r="B153" s="63"/>
      <c r="C153" s="24"/>
      <c r="D153" s="22" t="s">
        <v>54</v>
      </c>
      <c r="E153" s="13" t="s">
        <v>623</v>
      </c>
      <c r="F153" s="13"/>
      <c r="G153" s="13"/>
      <c r="H153" s="14"/>
      <c r="I153" s="20"/>
      <c r="J153" s="15" t="str" cm="1">
        <f t="array" ref="J153">IF(B153&lt;&gt;"",MATCH(TRUE, INDEX((B154:B$9601&lt;&gt;""), 0), 0) - 1,"")</f>
        <v/>
      </c>
      <c r="K153" s="19" t="b">
        <v>0</v>
      </c>
      <c r="L153" s="17"/>
      <c r="M153" s="23"/>
    </row>
    <row r="154" spans="2:13" s="10" customFormat="1" ht="25.2" customHeight="1" outlineLevel="1" x14ac:dyDescent="0.45">
      <c r="B154" s="63"/>
      <c r="C154" s="24"/>
      <c r="D154" s="22" t="s">
        <v>55</v>
      </c>
      <c r="E154" s="13" t="s">
        <v>623</v>
      </c>
      <c r="F154" s="13"/>
      <c r="G154" s="13"/>
      <c r="H154" s="14"/>
      <c r="I154" s="20"/>
      <c r="J154" s="15" t="str" cm="1">
        <f t="array" ref="J154">IF(B154&lt;&gt;"",MATCH(TRUE, INDEX((B155:B$9601&lt;&gt;""), 0), 0) - 1,"")</f>
        <v/>
      </c>
      <c r="K154" s="19" t="b">
        <v>0</v>
      </c>
      <c r="L154" s="17"/>
      <c r="M154" s="23"/>
    </row>
    <row r="155" spans="2:13" s="10" customFormat="1" ht="25.2" customHeight="1" x14ac:dyDescent="0.45">
      <c r="B155" s="63">
        <v>15</v>
      </c>
      <c r="C155" s="74" t="s">
        <v>467</v>
      </c>
      <c r="D155" s="22" t="s">
        <v>325</v>
      </c>
      <c r="E155" s="13" t="s">
        <v>623</v>
      </c>
      <c r="F155" s="13"/>
      <c r="G155" s="13"/>
      <c r="H155" s="14" t="str">
        <f>IF(K155=100, "FINISH", IF(K155&gt;0, "IN PROGRESS", IF(K155=0, "SCHED-OK", "")))</f>
        <v>IN PROGRESS</v>
      </c>
      <c r="I155" s="20" t="s">
        <v>40</v>
      </c>
      <c r="J155" s="15" cm="1">
        <f t="array" ref="J155">IF(B155&lt;&gt;"",MATCH(TRUE, INDEX((B156:B$9601&lt;&gt;""), 0), 0) - 1,"")</f>
        <v>10</v>
      </c>
      <c r="K155" s="16">
        <f>IF(J155&gt;0, COUNTIF(K156:INDEX(K156:K$9577, J155), TRUE)/J155*100, "")</f>
        <v>70</v>
      </c>
      <c r="L155" s="17" t="s">
        <v>20</v>
      </c>
      <c r="M155" s="18"/>
    </row>
    <row r="156" spans="2:13" s="10" customFormat="1" ht="25.2" customHeight="1" outlineLevel="1" x14ac:dyDescent="0.45">
      <c r="B156" s="63"/>
      <c r="C156" s="24"/>
      <c r="D156" s="22" t="s">
        <v>34</v>
      </c>
      <c r="E156" s="13" t="s">
        <v>623</v>
      </c>
      <c r="F156" s="13"/>
      <c r="G156" s="13"/>
      <c r="H156" s="14"/>
      <c r="I156" s="20"/>
      <c r="J156" s="15" t="str" cm="1">
        <f t="array" ref="J156">IF(B156&lt;&gt;"",MATCH(TRUE, INDEX((B157:B$9601&lt;&gt;""), 0), 0) - 1,"")</f>
        <v/>
      </c>
      <c r="K156" s="19" t="b">
        <v>1</v>
      </c>
      <c r="L156" s="17"/>
      <c r="M156" s="23"/>
    </row>
    <row r="157" spans="2:13" s="10" customFormat="1" ht="25.2" customHeight="1" outlineLevel="1" x14ac:dyDescent="0.45">
      <c r="B157" s="63"/>
      <c r="C157" s="24"/>
      <c r="D157" s="22" t="s">
        <v>35</v>
      </c>
      <c r="E157" s="13" t="s">
        <v>623</v>
      </c>
      <c r="F157" s="13"/>
      <c r="G157" s="13"/>
      <c r="H157" s="14"/>
      <c r="I157" s="20"/>
      <c r="J157" s="15" t="str" cm="1">
        <f t="array" ref="J157">IF(B157&lt;&gt;"",MATCH(TRUE, INDEX((B158:B$9601&lt;&gt;""), 0), 0) - 1,"")</f>
        <v/>
      </c>
      <c r="K157" s="19" t="b">
        <v>1</v>
      </c>
      <c r="L157" s="17"/>
      <c r="M157" s="23"/>
    </row>
    <row r="158" spans="2:13" s="10" customFormat="1" ht="25.2" customHeight="1" outlineLevel="1" x14ac:dyDescent="0.45">
      <c r="B158" s="63"/>
      <c r="C158" s="24"/>
      <c r="D158" s="22" t="s">
        <v>41</v>
      </c>
      <c r="E158" s="13" t="s">
        <v>623</v>
      </c>
      <c r="F158" s="13"/>
      <c r="G158" s="13"/>
      <c r="H158" s="14"/>
      <c r="I158" s="20"/>
      <c r="J158" s="15" t="str" cm="1">
        <f t="array" ref="J158">IF(B158&lt;&gt;"",MATCH(TRUE, INDEX((B159:B$9601&lt;&gt;""), 0), 0) - 1,"")</f>
        <v/>
      </c>
      <c r="K158" s="19" t="b">
        <v>1</v>
      </c>
      <c r="L158" s="17"/>
      <c r="M158" s="23"/>
    </row>
    <row r="159" spans="2:13" s="10" customFormat="1" ht="25.2" customHeight="1" outlineLevel="1" x14ac:dyDescent="0.45">
      <c r="B159" s="63"/>
      <c r="C159" s="24"/>
      <c r="D159" s="22" t="s">
        <v>42</v>
      </c>
      <c r="E159" s="13" t="s">
        <v>623</v>
      </c>
      <c r="F159" s="13"/>
      <c r="G159" s="13"/>
      <c r="H159" s="14"/>
      <c r="I159" s="20"/>
      <c r="J159" s="15" t="str" cm="1">
        <f t="array" ref="J159">IF(B159&lt;&gt;"",MATCH(TRUE, INDEX((B160:B$9601&lt;&gt;""), 0), 0) - 1,"")</f>
        <v/>
      </c>
      <c r="K159" s="19" t="b">
        <v>1</v>
      </c>
      <c r="L159" s="17"/>
      <c r="M159" s="23"/>
    </row>
    <row r="160" spans="2:13" s="10" customFormat="1" ht="25.2" customHeight="1" outlineLevel="1" x14ac:dyDescent="0.45">
      <c r="B160" s="63"/>
      <c r="C160" s="24"/>
      <c r="D160" s="22" t="s">
        <v>37</v>
      </c>
      <c r="E160" s="13" t="s">
        <v>623</v>
      </c>
      <c r="F160" s="13"/>
      <c r="G160" s="13"/>
      <c r="H160" s="14"/>
      <c r="I160" s="20"/>
      <c r="J160" s="15" t="str" cm="1">
        <f t="array" ref="J160">IF(B160&lt;&gt;"",MATCH(TRUE, INDEX((B161:B$9601&lt;&gt;""), 0), 0) - 1,"")</f>
        <v/>
      </c>
      <c r="K160" s="19" t="b">
        <v>1</v>
      </c>
      <c r="L160" s="17"/>
      <c r="M160" s="23"/>
    </row>
    <row r="161" spans="2:13" s="10" customFormat="1" ht="25.2" customHeight="1" outlineLevel="1" x14ac:dyDescent="0.45">
      <c r="B161" s="63"/>
      <c r="C161" s="24"/>
      <c r="D161" s="22" t="s">
        <v>38</v>
      </c>
      <c r="E161" s="13" t="s">
        <v>623</v>
      </c>
      <c r="F161" s="13"/>
      <c r="G161" s="13"/>
      <c r="H161" s="14"/>
      <c r="I161" s="20"/>
      <c r="J161" s="15" t="str" cm="1">
        <f t="array" ref="J161">IF(B161&lt;&gt;"",MATCH(TRUE, INDEX((B162:B$9601&lt;&gt;""), 0), 0) - 1,"")</f>
        <v/>
      </c>
      <c r="K161" s="19" t="b">
        <v>1</v>
      </c>
      <c r="L161" s="17"/>
      <c r="M161" s="23"/>
    </row>
    <row r="162" spans="2:13" s="10" customFormat="1" ht="25.2" customHeight="1" outlineLevel="1" x14ac:dyDescent="0.45">
      <c r="B162" s="63"/>
      <c r="C162" s="24"/>
      <c r="D162" s="22" t="s">
        <v>39</v>
      </c>
      <c r="E162" s="13" t="s">
        <v>623</v>
      </c>
      <c r="F162" s="13"/>
      <c r="G162" s="13"/>
      <c r="H162" s="14"/>
      <c r="I162" s="20"/>
      <c r="J162" s="15" t="str" cm="1">
        <f t="array" ref="J162">IF(B162&lt;&gt;"",MATCH(TRUE, INDEX((B163:B$9601&lt;&gt;""), 0), 0) - 1,"")</f>
        <v/>
      </c>
      <c r="K162" s="19" t="b">
        <v>1</v>
      </c>
      <c r="L162" s="17"/>
      <c r="M162" s="23"/>
    </row>
    <row r="163" spans="2:13" s="10" customFormat="1" ht="25.2" customHeight="1" outlineLevel="1" x14ac:dyDescent="0.45">
      <c r="B163" s="63"/>
      <c r="C163" s="24"/>
      <c r="D163" s="22" t="s">
        <v>477</v>
      </c>
      <c r="E163" s="13" t="s">
        <v>623</v>
      </c>
      <c r="F163" s="13"/>
      <c r="G163" s="13"/>
      <c r="H163" s="14"/>
      <c r="I163" s="20"/>
      <c r="J163" s="15" t="str" cm="1">
        <f t="array" ref="J163">IF(B163&lt;&gt;"",MATCH(TRUE, INDEX((B164:B$9601&lt;&gt;""), 0), 0) - 1,"")</f>
        <v/>
      </c>
      <c r="K163" s="19" t="b">
        <v>0</v>
      </c>
      <c r="L163" s="17"/>
      <c r="M163" s="23"/>
    </row>
    <row r="164" spans="2:13" s="10" customFormat="1" ht="25.2" customHeight="1" outlineLevel="1" x14ac:dyDescent="0.45">
      <c r="B164" s="63"/>
      <c r="C164" s="24"/>
      <c r="D164" s="22" t="s">
        <v>488</v>
      </c>
      <c r="E164" s="13" t="s">
        <v>623</v>
      </c>
      <c r="F164" s="13"/>
      <c r="G164" s="13"/>
      <c r="H164" s="14"/>
      <c r="I164" s="20"/>
      <c r="J164" s="15" t="str" cm="1">
        <f t="array" ref="J164">IF(B164&lt;&gt;"",MATCH(TRUE, INDEX((B165:B$9601&lt;&gt;""), 0), 0) - 1,"")</f>
        <v/>
      </c>
      <c r="K164" s="19" t="b">
        <v>0</v>
      </c>
      <c r="L164" s="17"/>
      <c r="M164" s="23"/>
    </row>
    <row r="165" spans="2:13" s="10" customFormat="1" ht="25.2" customHeight="1" outlineLevel="1" x14ac:dyDescent="0.45">
      <c r="B165" s="63"/>
      <c r="C165" s="24"/>
      <c r="D165" s="22" t="s">
        <v>489</v>
      </c>
      <c r="E165" s="13" t="s">
        <v>623</v>
      </c>
      <c r="F165" s="13"/>
      <c r="G165" s="13"/>
      <c r="H165" s="14"/>
      <c r="I165" s="20"/>
      <c r="J165" s="15" t="str" cm="1">
        <f t="array" ref="J165">IF(B165&lt;&gt;"",MATCH(TRUE, INDEX((B166:B$9601&lt;&gt;""), 0), 0) - 1,"")</f>
        <v/>
      </c>
      <c r="K165" s="19" t="b">
        <v>0</v>
      </c>
      <c r="L165" s="17"/>
      <c r="M165" s="23"/>
    </row>
    <row r="166" spans="2:13" s="10" customFormat="1" ht="25.2" customHeight="1" x14ac:dyDescent="0.45">
      <c r="B166" s="63">
        <v>16</v>
      </c>
      <c r="C166" s="74" t="s">
        <v>467</v>
      </c>
      <c r="D166" s="22" t="s">
        <v>326</v>
      </c>
      <c r="E166" s="13" t="s">
        <v>623</v>
      </c>
      <c r="F166" s="13"/>
      <c r="G166" s="13"/>
      <c r="H166" s="14" t="str">
        <f>IF(K166=100, "FINISH", IF(K166&gt;0, "IN PROGRESS", IF(K166=0, "SCHED-OK", "")))</f>
        <v>SCHED-OK</v>
      </c>
      <c r="I166" s="20" t="s">
        <v>56</v>
      </c>
      <c r="J166" s="15" cm="1">
        <f t="array" ref="J166">IF(B166&lt;&gt;"",MATCH(TRUE, INDEX((B167:B$9601&lt;&gt;""), 0), 0) - 1,"")</f>
        <v>6</v>
      </c>
      <c r="K166" s="16">
        <f>IF(J166&gt;0, COUNTIF(K167:INDEX(K167:K$9577, J166), TRUE)/J166*100, "")</f>
        <v>0</v>
      </c>
      <c r="L166" s="17" t="s">
        <v>20</v>
      </c>
      <c r="M166" s="18"/>
    </row>
    <row r="167" spans="2:13" s="10" customFormat="1" ht="25.2" customHeight="1" outlineLevel="1" x14ac:dyDescent="0.45">
      <c r="B167" s="63"/>
      <c r="C167" s="24"/>
      <c r="D167" s="22" t="s">
        <v>327</v>
      </c>
      <c r="E167" s="13" t="s">
        <v>623</v>
      </c>
      <c r="F167" s="13"/>
      <c r="G167" s="13"/>
      <c r="H167" s="14"/>
      <c r="I167" s="20"/>
      <c r="J167" s="15" t="str" cm="1">
        <f t="array" ref="J167">IF(B167&lt;&gt;"",MATCH(TRUE, INDEX((B168:B$9601&lt;&gt;""), 0), 0) - 1,"")</f>
        <v/>
      </c>
      <c r="K167" s="19" t="b">
        <v>0</v>
      </c>
      <c r="L167" s="17"/>
      <c r="M167" s="23"/>
    </row>
    <row r="168" spans="2:13" s="10" customFormat="1" ht="25.2" customHeight="1" outlineLevel="1" x14ac:dyDescent="0.45">
      <c r="B168" s="63"/>
      <c r="C168" s="24"/>
      <c r="D168" s="22" t="s">
        <v>328</v>
      </c>
      <c r="E168" s="13" t="s">
        <v>623</v>
      </c>
      <c r="F168" s="13"/>
      <c r="G168" s="13"/>
      <c r="H168" s="14"/>
      <c r="I168" s="20"/>
      <c r="J168" s="15" t="str" cm="1">
        <f t="array" ref="J168">IF(B168&lt;&gt;"",MATCH(TRUE, INDEX((B169:B$9601&lt;&gt;""), 0), 0) - 1,"")</f>
        <v/>
      </c>
      <c r="K168" s="19" t="b">
        <v>0</v>
      </c>
      <c r="L168" s="17"/>
      <c r="M168" s="23"/>
    </row>
    <row r="169" spans="2:13" s="10" customFormat="1" ht="25.2" customHeight="1" outlineLevel="1" x14ac:dyDescent="0.45">
      <c r="B169" s="63"/>
      <c r="C169" s="24"/>
      <c r="D169" s="22" t="s">
        <v>57</v>
      </c>
      <c r="E169" s="13" t="s">
        <v>623</v>
      </c>
      <c r="F169" s="13"/>
      <c r="G169" s="13"/>
      <c r="H169" s="14"/>
      <c r="I169" s="20"/>
      <c r="J169" s="15" t="str" cm="1">
        <f t="array" ref="J169">IF(B169&lt;&gt;"",MATCH(TRUE, INDEX((B170:B$9601&lt;&gt;""), 0), 0) - 1,"")</f>
        <v/>
      </c>
      <c r="K169" s="19" t="b">
        <v>0</v>
      </c>
      <c r="L169" s="17"/>
      <c r="M169" s="23"/>
    </row>
    <row r="170" spans="2:13" s="10" customFormat="1" ht="25.2" customHeight="1" outlineLevel="1" x14ac:dyDescent="0.45">
      <c r="B170" s="63"/>
      <c r="C170" s="24"/>
      <c r="D170" s="22" t="s">
        <v>58</v>
      </c>
      <c r="E170" s="13" t="s">
        <v>623</v>
      </c>
      <c r="F170" s="13"/>
      <c r="G170" s="13"/>
      <c r="H170" s="14"/>
      <c r="I170" s="20"/>
      <c r="J170" s="15" t="str" cm="1">
        <f t="array" ref="J170">IF(B170&lt;&gt;"",MATCH(TRUE, INDEX((B171:B$9601&lt;&gt;""), 0), 0) - 1,"")</f>
        <v/>
      </c>
      <c r="K170" s="19" t="b">
        <v>0</v>
      </c>
      <c r="L170" s="17"/>
      <c r="M170" s="23"/>
    </row>
    <row r="171" spans="2:13" s="10" customFormat="1" ht="25.2" customHeight="1" outlineLevel="1" x14ac:dyDescent="0.45">
      <c r="B171" s="63"/>
      <c r="C171" s="24"/>
      <c r="D171" s="22" t="s">
        <v>59</v>
      </c>
      <c r="E171" s="13" t="s">
        <v>623</v>
      </c>
      <c r="F171" s="13"/>
      <c r="G171" s="13"/>
      <c r="H171" s="14"/>
      <c r="I171" s="20"/>
      <c r="J171" s="15" t="str" cm="1">
        <f t="array" ref="J171">IF(B171&lt;&gt;"",MATCH(TRUE, INDEX((B172:B$9601&lt;&gt;""), 0), 0) - 1,"")</f>
        <v/>
      </c>
      <c r="K171" s="19" t="b">
        <v>0</v>
      </c>
      <c r="L171" s="17"/>
      <c r="M171" s="23"/>
    </row>
    <row r="172" spans="2:13" s="10" customFormat="1" ht="25.2" customHeight="1" outlineLevel="1" x14ac:dyDescent="0.45">
      <c r="B172" s="63"/>
      <c r="C172" s="24"/>
      <c r="D172" s="22" t="s">
        <v>60</v>
      </c>
      <c r="E172" s="13" t="s">
        <v>623</v>
      </c>
      <c r="F172" s="13"/>
      <c r="G172" s="13"/>
      <c r="H172" s="14"/>
      <c r="I172" s="20"/>
      <c r="J172" s="15" t="str" cm="1">
        <f t="array" ref="J172">IF(B172&lt;&gt;"",MATCH(TRUE, INDEX((B173:B$9601&lt;&gt;""), 0), 0) - 1,"")</f>
        <v/>
      </c>
      <c r="K172" s="19" t="b">
        <v>0</v>
      </c>
      <c r="L172" s="17"/>
      <c r="M172" s="23"/>
    </row>
    <row r="173" spans="2:13" s="10" customFormat="1" ht="25.2" customHeight="1" x14ac:dyDescent="0.45">
      <c r="B173" s="63">
        <v>17</v>
      </c>
      <c r="C173" s="74" t="s">
        <v>467</v>
      </c>
      <c r="D173" s="22" t="s">
        <v>329</v>
      </c>
      <c r="E173" s="13" t="s">
        <v>623</v>
      </c>
      <c r="F173" s="13"/>
      <c r="G173" s="13"/>
      <c r="H173" s="14" t="str">
        <f>IF(K173=100, "FINISH", IF(K173&gt;0, "IN PROGRESS", IF(K173=0, "SCHED-OK", "")))</f>
        <v>IN PROGRESS</v>
      </c>
      <c r="I173" s="20" t="s">
        <v>19</v>
      </c>
      <c r="J173" s="15" cm="1">
        <f t="array" ref="J173">IF(B173&lt;&gt;"",MATCH(TRUE, INDEX((B174:B$9601&lt;&gt;""), 0), 0) - 1,"")</f>
        <v>13</v>
      </c>
      <c r="K173" s="16">
        <f>IF(J173&gt;0, COUNTIF(K174:INDEX(K174:K$9577, J173), TRUE)/J173*100, "")</f>
        <v>92.307692307692307</v>
      </c>
      <c r="L173" s="17" t="s">
        <v>20</v>
      </c>
      <c r="M173" s="18"/>
    </row>
    <row r="174" spans="2:13" s="10" customFormat="1" ht="25.2" customHeight="1" outlineLevel="1" x14ac:dyDescent="0.45">
      <c r="B174" s="63"/>
      <c r="C174" s="12"/>
      <c r="D174" s="22" t="s">
        <v>61</v>
      </c>
      <c r="E174" s="13" t="s">
        <v>623</v>
      </c>
      <c r="F174" s="13"/>
      <c r="G174" s="13"/>
      <c r="H174" s="14"/>
      <c r="I174" s="20"/>
      <c r="J174" s="15" t="str" cm="1">
        <f t="array" ref="J174">IF(B174&lt;&gt;"",MATCH(TRUE, INDEX((B175:B$9601&lt;&gt;""), 0), 0) - 1,"")</f>
        <v/>
      </c>
      <c r="K174" s="19" t="b">
        <v>1</v>
      </c>
      <c r="L174" s="17"/>
      <c r="M174" s="23"/>
    </row>
    <row r="175" spans="2:13" s="10" customFormat="1" ht="25.2" customHeight="1" outlineLevel="1" x14ac:dyDescent="0.45">
      <c r="B175" s="63"/>
      <c r="C175" s="24"/>
      <c r="D175" s="22" t="s">
        <v>22</v>
      </c>
      <c r="E175" s="13" t="s">
        <v>623</v>
      </c>
      <c r="F175" s="13"/>
      <c r="G175" s="13"/>
      <c r="H175" s="14"/>
      <c r="I175" s="20"/>
      <c r="J175" s="15" t="str" cm="1">
        <f t="array" ref="J175">IF(B175&lt;&gt;"",MATCH(TRUE, INDEX((B176:B$9601&lt;&gt;""), 0), 0) - 1,"")</f>
        <v/>
      </c>
      <c r="K175" s="19" t="b">
        <v>1</v>
      </c>
      <c r="L175" s="17"/>
      <c r="M175" s="23"/>
    </row>
    <row r="176" spans="2:13" s="10" customFormat="1" ht="25.2" customHeight="1" outlineLevel="1" x14ac:dyDescent="0.45">
      <c r="B176" s="63"/>
      <c r="C176" s="24"/>
      <c r="D176" s="22" t="s">
        <v>24</v>
      </c>
      <c r="E176" s="13" t="s">
        <v>623</v>
      </c>
      <c r="F176" s="13"/>
      <c r="G176" s="13"/>
      <c r="H176" s="14"/>
      <c r="I176" s="20"/>
      <c r="J176" s="15" t="str" cm="1">
        <f t="array" ref="J176">IF(B176&lt;&gt;"",MATCH(TRUE, INDEX((B177:B$9601&lt;&gt;""), 0), 0) - 1,"")</f>
        <v/>
      </c>
      <c r="K176" s="19" t="b">
        <v>1</v>
      </c>
      <c r="L176" s="17"/>
      <c r="M176" s="23"/>
    </row>
    <row r="177" spans="2:13" s="10" customFormat="1" ht="25.2" customHeight="1" outlineLevel="1" x14ac:dyDescent="0.45">
      <c r="B177" s="63"/>
      <c r="C177" s="24"/>
      <c r="D177" s="22" t="s">
        <v>26</v>
      </c>
      <c r="E177" s="13" t="s">
        <v>623</v>
      </c>
      <c r="F177" s="13"/>
      <c r="G177" s="13"/>
      <c r="H177" s="14"/>
      <c r="I177" s="20"/>
      <c r="J177" s="15" t="str" cm="1">
        <f t="array" ref="J177">IF(B177&lt;&gt;"",MATCH(TRUE, INDEX((B178:B$9601&lt;&gt;""), 0), 0) - 1,"")</f>
        <v/>
      </c>
      <c r="K177" s="19" t="b">
        <v>1</v>
      </c>
      <c r="L177" s="17"/>
      <c r="M177" s="23"/>
    </row>
    <row r="178" spans="2:13" s="10" customFormat="1" ht="25.2" customHeight="1" outlineLevel="1" x14ac:dyDescent="0.45">
      <c r="B178" s="63"/>
      <c r="C178" s="24"/>
      <c r="D178" s="22" t="s">
        <v>27</v>
      </c>
      <c r="E178" s="13" t="s">
        <v>623</v>
      </c>
      <c r="F178" s="13"/>
      <c r="G178" s="13"/>
      <c r="H178" s="14"/>
      <c r="I178" s="20"/>
      <c r="J178" s="15" t="str" cm="1">
        <f t="array" ref="J178">IF(B178&lt;&gt;"",MATCH(TRUE, INDEX((B179:B$9601&lt;&gt;""), 0), 0) - 1,"")</f>
        <v/>
      </c>
      <c r="K178" s="19" t="b">
        <v>1</v>
      </c>
      <c r="L178" s="17"/>
      <c r="M178" s="23"/>
    </row>
    <row r="179" spans="2:13" s="10" customFormat="1" ht="25.2" customHeight="1" outlineLevel="1" x14ac:dyDescent="0.45">
      <c r="B179" s="63"/>
      <c r="C179" s="24"/>
      <c r="D179" s="22" t="s">
        <v>28</v>
      </c>
      <c r="E179" s="13" t="s">
        <v>623</v>
      </c>
      <c r="F179" s="13"/>
      <c r="G179" s="13"/>
      <c r="H179" s="14"/>
      <c r="I179" s="20"/>
      <c r="J179" s="15" t="str" cm="1">
        <f t="array" ref="J179">IF(B179&lt;&gt;"",MATCH(TRUE, INDEX((B180:B$9601&lt;&gt;""), 0), 0) - 1,"")</f>
        <v/>
      </c>
      <c r="K179" s="19" t="b">
        <v>1</v>
      </c>
      <c r="L179" s="17"/>
      <c r="M179" s="23"/>
    </row>
    <row r="180" spans="2:13" s="10" customFormat="1" ht="25.2" customHeight="1" outlineLevel="1" x14ac:dyDescent="0.45">
      <c r="B180" s="63"/>
      <c r="C180" s="24"/>
      <c r="D180" s="22" t="s">
        <v>62</v>
      </c>
      <c r="E180" s="13" t="s">
        <v>623</v>
      </c>
      <c r="F180" s="13"/>
      <c r="G180" s="13"/>
      <c r="H180" s="14"/>
      <c r="I180" s="20"/>
      <c r="J180" s="15" t="str" cm="1">
        <f t="array" ref="J180">IF(B180&lt;&gt;"",MATCH(TRUE, INDEX((B181:B$9601&lt;&gt;""), 0), 0) - 1,"")</f>
        <v/>
      </c>
      <c r="K180" s="19" t="b">
        <v>1</v>
      </c>
      <c r="L180" s="17"/>
      <c r="M180" s="23"/>
    </row>
    <row r="181" spans="2:13" s="10" customFormat="1" ht="25.2" customHeight="1" outlineLevel="1" x14ac:dyDescent="0.45">
      <c r="B181" s="63"/>
      <c r="C181" s="24"/>
      <c r="D181" s="22" t="s">
        <v>22</v>
      </c>
      <c r="E181" s="13" t="s">
        <v>623</v>
      </c>
      <c r="F181" s="13"/>
      <c r="G181" s="13"/>
      <c r="H181" s="14"/>
      <c r="I181" s="20"/>
      <c r="J181" s="15" t="str" cm="1">
        <f t="array" ref="J181">IF(B181&lt;&gt;"",MATCH(TRUE, INDEX((B182:B$9601&lt;&gt;""), 0), 0) - 1,"")</f>
        <v/>
      </c>
      <c r="K181" s="19" t="b">
        <v>1</v>
      </c>
      <c r="L181" s="17"/>
      <c r="M181" s="23"/>
    </row>
    <row r="182" spans="2:13" s="10" customFormat="1" ht="25.2" customHeight="1" outlineLevel="1" x14ac:dyDescent="0.45">
      <c r="B182" s="63"/>
      <c r="C182" s="24"/>
      <c r="D182" s="22" t="s">
        <v>24</v>
      </c>
      <c r="E182" s="13" t="s">
        <v>623</v>
      </c>
      <c r="F182" s="13"/>
      <c r="G182" s="13"/>
      <c r="H182" s="14"/>
      <c r="I182" s="20"/>
      <c r="J182" s="15" t="str" cm="1">
        <f t="array" ref="J182">IF(B182&lt;&gt;"",MATCH(TRUE, INDEX((B183:B$9601&lt;&gt;""), 0), 0) - 1,"")</f>
        <v/>
      </c>
      <c r="K182" s="19" t="b">
        <v>1</v>
      </c>
      <c r="L182" s="17"/>
      <c r="M182" s="23"/>
    </row>
    <row r="183" spans="2:13" s="10" customFormat="1" ht="25.2" customHeight="1" outlineLevel="1" x14ac:dyDescent="0.45">
      <c r="B183" s="63"/>
      <c r="C183" s="24"/>
      <c r="D183" s="22" t="s">
        <v>26</v>
      </c>
      <c r="E183" s="13" t="s">
        <v>623</v>
      </c>
      <c r="F183" s="13"/>
      <c r="G183" s="13"/>
      <c r="H183" s="14"/>
      <c r="I183" s="20"/>
      <c r="J183" s="15" t="str" cm="1">
        <f t="array" ref="J183">IF(B183&lt;&gt;"",MATCH(TRUE, INDEX((B184:B$9601&lt;&gt;""), 0), 0) - 1,"")</f>
        <v/>
      </c>
      <c r="K183" s="19" t="b">
        <v>1</v>
      </c>
      <c r="L183" s="17"/>
      <c r="M183" s="23"/>
    </row>
    <row r="184" spans="2:13" s="10" customFormat="1" ht="25.2" customHeight="1" outlineLevel="1" x14ac:dyDescent="0.45">
      <c r="B184" s="63"/>
      <c r="C184" s="24"/>
      <c r="D184" s="22" t="s">
        <v>27</v>
      </c>
      <c r="E184" s="13" t="s">
        <v>623</v>
      </c>
      <c r="F184" s="13"/>
      <c r="G184" s="13"/>
      <c r="H184" s="14"/>
      <c r="I184" s="20"/>
      <c r="J184" s="15" t="str" cm="1">
        <f t="array" ref="J184">IF(B184&lt;&gt;"",MATCH(TRUE, INDEX((B185:B$9601&lt;&gt;""), 0), 0) - 1,"")</f>
        <v/>
      </c>
      <c r="K184" s="19" t="b">
        <v>1</v>
      </c>
      <c r="L184" s="17"/>
      <c r="M184" s="23"/>
    </row>
    <row r="185" spans="2:13" s="10" customFormat="1" ht="25.2" customHeight="1" outlineLevel="1" x14ac:dyDescent="0.45">
      <c r="B185" s="63"/>
      <c r="C185" s="24"/>
      <c r="D185" s="22" t="s">
        <v>28</v>
      </c>
      <c r="E185" s="13" t="s">
        <v>623</v>
      </c>
      <c r="F185" s="13"/>
      <c r="G185" s="13"/>
      <c r="H185" s="14"/>
      <c r="I185" s="20"/>
      <c r="J185" s="15" t="str" cm="1">
        <f t="array" ref="J185">IF(B185&lt;&gt;"",MATCH(TRUE, INDEX((B186:B$9601&lt;&gt;""), 0), 0) - 1,"")</f>
        <v/>
      </c>
      <c r="K185" s="19" t="b">
        <v>1</v>
      </c>
      <c r="L185" s="17"/>
      <c r="M185" s="23"/>
    </row>
    <row r="186" spans="2:13" s="10" customFormat="1" ht="25.2" customHeight="1" outlineLevel="1" x14ac:dyDescent="0.45">
      <c r="B186" s="63"/>
      <c r="C186" s="24"/>
      <c r="D186" s="22" t="s">
        <v>490</v>
      </c>
      <c r="E186" s="13" t="s">
        <v>623</v>
      </c>
      <c r="F186" s="13"/>
      <c r="G186" s="13"/>
      <c r="H186" s="25"/>
      <c r="I186" s="20"/>
      <c r="J186" s="15" t="str" cm="1">
        <f t="array" ref="J186">IF(B186&lt;&gt;"",MATCH(TRUE, INDEX((B187:B$9601&lt;&gt;""), 0), 0) - 1,"")</f>
        <v/>
      </c>
      <c r="K186" s="19" t="b">
        <v>0</v>
      </c>
      <c r="L186" s="17"/>
      <c r="M186" s="23"/>
    </row>
    <row r="187" spans="2:13" s="10" customFormat="1" ht="25.2" customHeight="1" x14ac:dyDescent="0.45">
      <c r="B187" s="63">
        <v>18</v>
      </c>
      <c r="C187" s="74" t="s">
        <v>467</v>
      </c>
      <c r="D187" s="77" t="s">
        <v>330</v>
      </c>
      <c r="E187" s="13" t="s">
        <v>623</v>
      </c>
      <c r="F187" s="13"/>
      <c r="G187" s="13"/>
      <c r="H187" s="14" t="str">
        <f>IF(K187=100, "FINISH", IF(K187&gt;0, "IN PROGRESS", IF(K187=0, "SCHED-OK", "")))</f>
        <v>IN PROGRESS</v>
      </c>
      <c r="I187" s="20" t="s">
        <v>19</v>
      </c>
      <c r="J187" s="15" cm="1">
        <f t="array" ref="J187">IF(B187&lt;&gt;"",MATCH(TRUE, INDEX((B188:B$9601&lt;&gt;""), 0), 0) - 1,"")</f>
        <v>13</v>
      </c>
      <c r="K187" s="16">
        <f>IF(J187&gt;0, COUNTIF(K188:INDEX(K188:K$9577, J187), TRUE)/J187*100, "")</f>
        <v>92.307692307692307</v>
      </c>
      <c r="L187" s="17" t="s">
        <v>20</v>
      </c>
      <c r="M187" s="18"/>
    </row>
    <row r="188" spans="2:13" s="10" customFormat="1" ht="25.2" customHeight="1" outlineLevel="1" x14ac:dyDescent="0.45">
      <c r="B188" s="63"/>
      <c r="C188" s="24"/>
      <c r="D188" s="22" t="s">
        <v>61</v>
      </c>
      <c r="E188" s="13" t="s">
        <v>623</v>
      </c>
      <c r="F188" s="13"/>
      <c r="G188" s="13"/>
      <c r="H188" s="14"/>
      <c r="I188" s="20"/>
      <c r="J188" s="15" t="str" cm="1">
        <f t="array" ref="J188">IF(B188&lt;&gt;"",MATCH(TRUE, INDEX((B189:B$9601&lt;&gt;""), 0), 0) - 1,"")</f>
        <v/>
      </c>
      <c r="K188" s="19" t="b">
        <v>1</v>
      </c>
      <c r="L188" s="17"/>
      <c r="M188" s="18"/>
    </row>
    <row r="189" spans="2:13" s="10" customFormat="1" ht="25.2" customHeight="1" outlineLevel="1" x14ac:dyDescent="0.45">
      <c r="B189" s="63"/>
      <c r="C189" s="24"/>
      <c r="D189" s="22" t="s">
        <v>22</v>
      </c>
      <c r="E189" s="13" t="s">
        <v>623</v>
      </c>
      <c r="F189" s="13"/>
      <c r="G189" s="13"/>
      <c r="H189" s="14"/>
      <c r="I189" s="20"/>
      <c r="J189" s="15" t="str" cm="1">
        <f t="array" ref="J189">IF(B189&lt;&gt;"",MATCH(TRUE, INDEX((B190:B$9601&lt;&gt;""), 0), 0) - 1,"")</f>
        <v/>
      </c>
      <c r="K189" s="19" t="b">
        <v>1</v>
      </c>
      <c r="L189" s="17"/>
      <c r="M189" s="18"/>
    </row>
    <row r="190" spans="2:13" s="10" customFormat="1" ht="25.2" customHeight="1" outlineLevel="1" x14ac:dyDescent="0.45">
      <c r="B190" s="63"/>
      <c r="C190" s="24"/>
      <c r="D190" s="22" t="s">
        <v>24</v>
      </c>
      <c r="E190" s="13" t="s">
        <v>623</v>
      </c>
      <c r="F190" s="13"/>
      <c r="G190" s="13"/>
      <c r="H190" s="14"/>
      <c r="I190" s="20"/>
      <c r="J190" s="15" t="str" cm="1">
        <f t="array" ref="J190">IF(B190&lt;&gt;"",MATCH(TRUE, INDEX((B191:B$9601&lt;&gt;""), 0), 0) - 1,"")</f>
        <v/>
      </c>
      <c r="K190" s="19" t="b">
        <v>1</v>
      </c>
      <c r="L190" s="17"/>
      <c r="M190" s="18"/>
    </row>
    <row r="191" spans="2:13" s="10" customFormat="1" ht="25.2" customHeight="1" outlineLevel="1" x14ac:dyDescent="0.45">
      <c r="B191" s="63"/>
      <c r="C191" s="24"/>
      <c r="D191" s="22" t="s">
        <v>26</v>
      </c>
      <c r="E191" s="13" t="s">
        <v>623</v>
      </c>
      <c r="F191" s="13"/>
      <c r="G191" s="13"/>
      <c r="H191" s="14"/>
      <c r="I191" s="20"/>
      <c r="J191" s="15" t="str" cm="1">
        <f t="array" ref="J191">IF(B191&lt;&gt;"",MATCH(TRUE, INDEX((B192:B$9601&lt;&gt;""), 0), 0) - 1,"")</f>
        <v/>
      </c>
      <c r="K191" s="19" t="b">
        <v>1</v>
      </c>
      <c r="L191" s="17"/>
      <c r="M191" s="18"/>
    </row>
    <row r="192" spans="2:13" s="10" customFormat="1" ht="25.2" customHeight="1" outlineLevel="1" x14ac:dyDescent="0.45">
      <c r="B192" s="63"/>
      <c r="C192" s="24"/>
      <c r="D192" s="22" t="s">
        <v>27</v>
      </c>
      <c r="E192" s="13" t="s">
        <v>623</v>
      </c>
      <c r="F192" s="13"/>
      <c r="G192" s="13"/>
      <c r="H192" s="14"/>
      <c r="I192" s="20"/>
      <c r="J192" s="15" t="str" cm="1">
        <f t="array" ref="J192">IF(B192&lt;&gt;"",MATCH(TRUE, INDEX((B193:B$9601&lt;&gt;""), 0), 0) - 1,"")</f>
        <v/>
      </c>
      <c r="K192" s="19" t="b">
        <v>1</v>
      </c>
      <c r="L192" s="17"/>
      <c r="M192" s="18"/>
    </row>
    <row r="193" spans="2:13" s="10" customFormat="1" ht="25.2" customHeight="1" outlineLevel="1" x14ac:dyDescent="0.45">
      <c r="B193" s="63"/>
      <c r="C193" s="24"/>
      <c r="D193" s="22" t="s">
        <v>28</v>
      </c>
      <c r="E193" s="13" t="s">
        <v>623</v>
      </c>
      <c r="F193" s="13"/>
      <c r="G193" s="13"/>
      <c r="H193" s="14"/>
      <c r="I193" s="20"/>
      <c r="J193" s="15" t="str" cm="1">
        <f t="array" ref="J193">IF(B193&lt;&gt;"",MATCH(TRUE, INDEX((B194:B$9601&lt;&gt;""), 0), 0) - 1,"")</f>
        <v/>
      </c>
      <c r="K193" s="19" t="b">
        <v>1</v>
      </c>
      <c r="L193" s="17"/>
      <c r="M193" s="18"/>
    </row>
    <row r="194" spans="2:13" s="10" customFormat="1" ht="25.2" customHeight="1" outlineLevel="1" x14ac:dyDescent="0.45">
      <c r="B194" s="63"/>
      <c r="C194" s="24"/>
      <c r="D194" s="22" t="s">
        <v>62</v>
      </c>
      <c r="E194" s="13" t="s">
        <v>623</v>
      </c>
      <c r="F194" s="13"/>
      <c r="G194" s="13"/>
      <c r="H194" s="14"/>
      <c r="I194" s="20"/>
      <c r="J194" s="15" t="str" cm="1">
        <f t="array" ref="J194">IF(B194&lt;&gt;"",MATCH(TRUE, INDEX((B195:B$9601&lt;&gt;""), 0), 0) - 1,"")</f>
        <v/>
      </c>
      <c r="K194" s="19" t="b">
        <v>1</v>
      </c>
      <c r="L194" s="17"/>
      <c r="M194" s="23"/>
    </row>
    <row r="195" spans="2:13" s="10" customFormat="1" ht="25.2" customHeight="1" outlineLevel="1" x14ac:dyDescent="0.45">
      <c r="B195" s="63"/>
      <c r="C195" s="24"/>
      <c r="D195" s="22" t="s">
        <v>22</v>
      </c>
      <c r="E195" s="13" t="s">
        <v>623</v>
      </c>
      <c r="F195" s="13"/>
      <c r="G195" s="13"/>
      <c r="H195" s="14"/>
      <c r="I195" s="20"/>
      <c r="J195" s="15" t="str" cm="1">
        <f t="array" ref="J195">IF(B195&lt;&gt;"",MATCH(TRUE, INDEX((B196:B$9601&lt;&gt;""), 0), 0) - 1,"")</f>
        <v/>
      </c>
      <c r="K195" s="19" t="b">
        <v>1</v>
      </c>
      <c r="L195" s="17"/>
      <c r="M195" s="23"/>
    </row>
    <row r="196" spans="2:13" s="10" customFormat="1" ht="25.2" customHeight="1" outlineLevel="1" x14ac:dyDescent="0.45">
      <c r="B196" s="63"/>
      <c r="C196" s="24"/>
      <c r="D196" s="22" t="s">
        <v>24</v>
      </c>
      <c r="E196" s="13" t="s">
        <v>623</v>
      </c>
      <c r="F196" s="13"/>
      <c r="G196" s="13"/>
      <c r="H196" s="14"/>
      <c r="I196" s="20"/>
      <c r="J196" s="15" t="str" cm="1">
        <f t="array" ref="J196">IF(B196&lt;&gt;"",MATCH(TRUE, INDEX((B197:B$9601&lt;&gt;""), 0), 0) - 1,"")</f>
        <v/>
      </c>
      <c r="K196" s="19" t="b">
        <v>1</v>
      </c>
      <c r="L196" s="17"/>
      <c r="M196" s="23"/>
    </row>
    <row r="197" spans="2:13" s="10" customFormat="1" ht="25.2" customHeight="1" outlineLevel="1" x14ac:dyDescent="0.45">
      <c r="B197" s="63"/>
      <c r="C197" s="24"/>
      <c r="D197" s="22" t="s">
        <v>26</v>
      </c>
      <c r="E197" s="13" t="s">
        <v>623</v>
      </c>
      <c r="F197" s="13"/>
      <c r="G197" s="13"/>
      <c r="H197" s="14"/>
      <c r="I197" s="20"/>
      <c r="J197" s="15" t="str" cm="1">
        <f t="array" ref="J197">IF(B197&lt;&gt;"",MATCH(TRUE, INDEX((B198:B$9601&lt;&gt;""), 0), 0) - 1,"")</f>
        <v/>
      </c>
      <c r="K197" s="19" t="b">
        <v>1</v>
      </c>
      <c r="L197" s="17"/>
      <c r="M197" s="23"/>
    </row>
    <row r="198" spans="2:13" s="10" customFormat="1" ht="25.2" customHeight="1" outlineLevel="1" x14ac:dyDescent="0.45">
      <c r="B198" s="63"/>
      <c r="C198" s="24"/>
      <c r="D198" s="22" t="s">
        <v>27</v>
      </c>
      <c r="E198" s="13" t="s">
        <v>623</v>
      </c>
      <c r="F198" s="13"/>
      <c r="G198" s="13"/>
      <c r="H198" s="14"/>
      <c r="I198" s="20"/>
      <c r="J198" s="15" t="str" cm="1">
        <f t="array" ref="J198">IF(B198&lt;&gt;"",MATCH(TRUE, INDEX((B199:B$9601&lt;&gt;""), 0), 0) - 1,"")</f>
        <v/>
      </c>
      <c r="K198" s="19" t="b">
        <v>1</v>
      </c>
      <c r="L198" s="17"/>
      <c r="M198" s="23"/>
    </row>
    <row r="199" spans="2:13" s="10" customFormat="1" ht="25.2" customHeight="1" outlineLevel="1" x14ac:dyDescent="0.45">
      <c r="B199" s="63"/>
      <c r="C199" s="24"/>
      <c r="D199" s="22" t="s">
        <v>28</v>
      </c>
      <c r="E199" s="13" t="s">
        <v>623</v>
      </c>
      <c r="F199" s="13"/>
      <c r="G199" s="13"/>
      <c r="H199" s="14"/>
      <c r="I199" s="20"/>
      <c r="J199" s="15" t="str" cm="1">
        <f t="array" ref="J199">IF(B199&lt;&gt;"",MATCH(TRUE, INDEX((B200:B$9601&lt;&gt;""), 0), 0) - 1,"")</f>
        <v/>
      </c>
      <c r="K199" s="19" t="b">
        <v>1</v>
      </c>
      <c r="L199" s="17"/>
      <c r="M199" s="23"/>
    </row>
    <row r="200" spans="2:13" s="10" customFormat="1" ht="25.2" customHeight="1" outlineLevel="1" x14ac:dyDescent="0.45">
      <c r="B200" s="63"/>
      <c r="C200" s="24"/>
      <c r="D200" s="22" t="s">
        <v>491</v>
      </c>
      <c r="E200" s="13" t="s">
        <v>623</v>
      </c>
      <c r="F200" s="13"/>
      <c r="G200" s="13"/>
      <c r="H200" s="14"/>
      <c r="I200" s="20" t="s">
        <v>32</v>
      </c>
      <c r="J200" s="15" t="str" cm="1">
        <f t="array" ref="J200">IF(B200&lt;&gt;"",MATCH(TRUE, INDEX((B201:B$9601&lt;&gt;""), 0), 0) - 1,"")</f>
        <v/>
      </c>
      <c r="K200" s="19" t="b">
        <v>0</v>
      </c>
      <c r="L200" s="17"/>
      <c r="M200" s="23"/>
    </row>
    <row r="201" spans="2:13" s="10" customFormat="1" ht="25.2" customHeight="1" x14ac:dyDescent="0.45">
      <c r="B201" s="63">
        <v>19</v>
      </c>
      <c r="C201" s="74" t="s">
        <v>467</v>
      </c>
      <c r="D201" s="22" t="s">
        <v>331</v>
      </c>
      <c r="E201" s="13" t="s">
        <v>623</v>
      </c>
      <c r="F201" s="13"/>
      <c r="G201" s="13"/>
      <c r="H201" s="14" t="str">
        <f>IF(K201=100, "FINISH", IF(K201&gt;0, "IN PROGRESS", IF(K201=0, "SCHED-OK", "")))</f>
        <v>IN PROGRESS</v>
      </c>
      <c r="I201" s="20" t="s">
        <v>56</v>
      </c>
      <c r="J201" s="15" cm="1">
        <f t="array" ref="J201">IF(B201&lt;&gt;"",MATCH(TRUE, INDEX((B202:B$9601&lt;&gt;""), 0), 0) - 1,"")</f>
        <v>18</v>
      </c>
      <c r="K201" s="16">
        <f>IF(J201&gt;0, COUNTIF(K202:INDEX(K202:K$9577, J201), TRUE)/J201*100, "")</f>
        <v>11.111111111111111</v>
      </c>
      <c r="L201" s="17" t="s">
        <v>20</v>
      </c>
      <c r="M201" s="18"/>
    </row>
    <row r="202" spans="2:13" s="10" customFormat="1" ht="25.2" customHeight="1" outlineLevel="1" x14ac:dyDescent="0.45">
      <c r="B202" s="63"/>
      <c r="C202" s="24"/>
      <c r="D202" s="22" t="s">
        <v>63</v>
      </c>
      <c r="E202" s="13" t="s">
        <v>623</v>
      </c>
      <c r="F202" s="13"/>
      <c r="G202" s="13"/>
      <c r="H202" s="26" t="s">
        <v>43</v>
      </c>
      <c r="I202" s="20"/>
      <c r="J202" s="15" t="str" cm="1">
        <f t="array" ref="J202">IF(B202&lt;&gt;"",MATCH(TRUE, INDEX((B203:B$9601&lt;&gt;""), 0), 0) - 1,"")</f>
        <v/>
      </c>
      <c r="K202" s="19" t="b">
        <v>0</v>
      </c>
      <c r="L202" s="17"/>
      <c r="M202" s="23"/>
    </row>
    <row r="203" spans="2:13" s="10" customFormat="1" ht="25.2" customHeight="1" outlineLevel="1" x14ac:dyDescent="0.45">
      <c r="B203" s="63"/>
      <c r="C203" s="24"/>
      <c r="D203" s="22" t="s">
        <v>64</v>
      </c>
      <c r="E203" s="13" t="s">
        <v>623</v>
      </c>
      <c r="F203" s="13"/>
      <c r="G203" s="13"/>
      <c r="H203" s="26" t="s">
        <v>43</v>
      </c>
      <c r="I203" s="20"/>
      <c r="J203" s="15" t="str" cm="1">
        <f t="array" ref="J203">IF(B203&lt;&gt;"",MATCH(TRUE, INDEX((B204:B$9601&lt;&gt;""), 0), 0) - 1,"")</f>
        <v/>
      </c>
      <c r="K203" s="19" t="b">
        <v>0</v>
      </c>
      <c r="L203" s="17"/>
      <c r="M203" s="23"/>
    </row>
    <row r="204" spans="2:13" s="10" customFormat="1" ht="25.2" customHeight="1" outlineLevel="1" x14ac:dyDescent="0.45">
      <c r="B204" s="63"/>
      <c r="C204" s="24"/>
      <c r="D204" s="22" t="s">
        <v>492</v>
      </c>
      <c r="E204" s="13" t="s">
        <v>623</v>
      </c>
      <c r="F204" s="13"/>
      <c r="G204" s="13"/>
      <c r="H204" s="26" t="s">
        <v>43</v>
      </c>
      <c r="I204" s="20"/>
      <c r="J204" s="15" t="str" cm="1">
        <f t="array" ref="J204">IF(B204&lt;&gt;"",MATCH(TRUE, INDEX((B205:B$9601&lt;&gt;""), 0), 0) - 1,"")</f>
        <v/>
      </c>
      <c r="K204" s="19" t="b">
        <v>0</v>
      </c>
      <c r="L204" s="17"/>
      <c r="M204" s="23"/>
    </row>
    <row r="205" spans="2:13" s="10" customFormat="1" ht="25.2" customHeight="1" outlineLevel="1" x14ac:dyDescent="0.45">
      <c r="B205" s="63"/>
      <c r="C205" s="24"/>
      <c r="D205" s="22" t="s">
        <v>493</v>
      </c>
      <c r="E205" s="13" t="s">
        <v>623</v>
      </c>
      <c r="F205" s="13"/>
      <c r="G205" s="13"/>
      <c r="H205" s="26" t="s">
        <v>43</v>
      </c>
      <c r="I205" s="20"/>
      <c r="J205" s="15" t="str" cm="1">
        <f t="array" ref="J205">IF(B205&lt;&gt;"",MATCH(TRUE, INDEX((B206:B$9601&lt;&gt;""), 0), 0) - 1,"")</f>
        <v/>
      </c>
      <c r="K205" s="19" t="b">
        <v>0</v>
      </c>
      <c r="L205" s="17"/>
      <c r="M205" s="23"/>
    </row>
    <row r="206" spans="2:13" s="10" customFormat="1" ht="25.2" customHeight="1" outlineLevel="1" x14ac:dyDescent="0.45">
      <c r="B206" s="63"/>
      <c r="C206" s="24"/>
      <c r="D206" s="22" t="s">
        <v>494</v>
      </c>
      <c r="E206" s="13" t="s">
        <v>623</v>
      </c>
      <c r="F206" s="13"/>
      <c r="G206" s="13"/>
      <c r="H206" s="26" t="s">
        <v>43</v>
      </c>
      <c r="I206" s="20"/>
      <c r="J206" s="15" t="str" cm="1">
        <f t="array" ref="J206">IF(B206&lt;&gt;"",MATCH(TRUE, INDEX((B207:B$9601&lt;&gt;""), 0), 0) - 1,"")</f>
        <v/>
      </c>
      <c r="K206" s="19" t="b">
        <v>0</v>
      </c>
      <c r="L206" s="17"/>
      <c r="M206" s="23"/>
    </row>
    <row r="207" spans="2:13" s="10" customFormat="1" ht="25.2" customHeight="1" outlineLevel="1" x14ac:dyDescent="0.45">
      <c r="B207" s="63"/>
      <c r="C207" s="24"/>
      <c r="D207" s="22" t="s">
        <v>495</v>
      </c>
      <c r="E207" s="13" t="s">
        <v>623</v>
      </c>
      <c r="F207" s="13"/>
      <c r="G207" s="13"/>
      <c r="H207" s="26" t="s">
        <v>43</v>
      </c>
      <c r="I207" s="20"/>
      <c r="J207" s="15" t="str" cm="1">
        <f t="array" ref="J207">IF(B207&lt;&gt;"",MATCH(TRUE, INDEX((B208:B$9601&lt;&gt;""), 0), 0) - 1,"")</f>
        <v/>
      </c>
      <c r="K207" s="19" t="b">
        <v>0</v>
      </c>
      <c r="L207" s="17"/>
      <c r="M207" s="23"/>
    </row>
    <row r="208" spans="2:13" s="10" customFormat="1" ht="25.2" customHeight="1" outlineLevel="1" x14ac:dyDescent="0.45">
      <c r="B208" s="63"/>
      <c r="C208" s="24"/>
      <c r="D208" s="22" t="s">
        <v>496</v>
      </c>
      <c r="E208" s="13" t="s">
        <v>623</v>
      </c>
      <c r="F208" s="13"/>
      <c r="G208" s="13"/>
      <c r="H208" s="26" t="s">
        <v>43</v>
      </c>
      <c r="I208" s="20"/>
      <c r="J208" s="15" t="str" cm="1">
        <f t="array" ref="J208">IF(B208&lt;&gt;"",MATCH(TRUE, INDEX((B209:B$9601&lt;&gt;""), 0), 0) - 1,"")</f>
        <v/>
      </c>
      <c r="K208" s="19" t="b">
        <v>0</v>
      </c>
      <c r="L208" s="17"/>
      <c r="M208" s="23"/>
    </row>
    <row r="209" spans="2:13" s="10" customFormat="1" ht="25.2" customHeight="1" outlineLevel="1" x14ac:dyDescent="0.45">
      <c r="B209" s="63"/>
      <c r="C209" s="24"/>
      <c r="D209" s="22" t="s">
        <v>497</v>
      </c>
      <c r="E209" s="13" t="s">
        <v>623</v>
      </c>
      <c r="F209" s="13"/>
      <c r="G209" s="13"/>
      <c r="H209" s="26" t="s">
        <v>43</v>
      </c>
      <c r="I209" s="20"/>
      <c r="J209" s="15" t="str" cm="1">
        <f t="array" ref="J209">IF(B209&lt;&gt;"",MATCH(TRUE, INDEX((B210:B$9601&lt;&gt;""), 0), 0) - 1,"")</f>
        <v/>
      </c>
      <c r="K209" s="19" t="b">
        <v>0</v>
      </c>
      <c r="L209" s="17"/>
      <c r="M209" s="23"/>
    </row>
    <row r="210" spans="2:13" s="10" customFormat="1" ht="25.2" customHeight="1" outlineLevel="1" x14ac:dyDescent="0.45">
      <c r="B210" s="63"/>
      <c r="C210" s="24"/>
      <c r="D210" s="22" t="s">
        <v>498</v>
      </c>
      <c r="E210" s="13" t="s">
        <v>623</v>
      </c>
      <c r="F210" s="13"/>
      <c r="G210" s="13"/>
      <c r="H210" s="26" t="s">
        <v>43</v>
      </c>
      <c r="I210" s="20"/>
      <c r="J210" s="15" t="str" cm="1">
        <f t="array" ref="J210">IF(B210&lt;&gt;"",MATCH(TRUE, INDEX((B211:B$9601&lt;&gt;""), 0), 0) - 1,"")</f>
        <v/>
      </c>
      <c r="K210" s="19" t="b">
        <v>0</v>
      </c>
      <c r="L210" s="17"/>
      <c r="M210" s="23"/>
    </row>
    <row r="211" spans="2:13" s="10" customFormat="1" ht="25.2" customHeight="1" outlineLevel="1" x14ac:dyDescent="0.45">
      <c r="B211" s="63"/>
      <c r="C211" s="24"/>
      <c r="D211" s="22" t="s">
        <v>65</v>
      </c>
      <c r="E211" s="13" t="s">
        <v>623</v>
      </c>
      <c r="F211" s="13"/>
      <c r="G211" s="13"/>
      <c r="H211" s="26" t="s">
        <v>43</v>
      </c>
      <c r="I211" s="20"/>
      <c r="J211" s="15" t="str" cm="1">
        <f t="array" ref="J211">IF(B211&lt;&gt;"",MATCH(TRUE, INDEX((B212:B$9601&lt;&gt;""), 0), 0) - 1,"")</f>
        <v/>
      </c>
      <c r="K211" s="19" t="b">
        <v>0</v>
      </c>
      <c r="L211" s="17"/>
      <c r="M211" s="23"/>
    </row>
    <row r="212" spans="2:13" s="10" customFormat="1" ht="25.2" customHeight="1" outlineLevel="1" x14ac:dyDescent="0.45">
      <c r="B212" s="63"/>
      <c r="C212" s="24"/>
      <c r="D212" s="22" t="s">
        <v>66</v>
      </c>
      <c r="E212" s="13" t="s">
        <v>623</v>
      </c>
      <c r="F212" s="13"/>
      <c r="G212" s="13"/>
      <c r="H212" s="26" t="s">
        <v>43</v>
      </c>
      <c r="I212" s="20"/>
      <c r="J212" s="15" t="str" cm="1">
        <f t="array" ref="J212">IF(B212&lt;&gt;"",MATCH(TRUE, INDEX((B213:B$9601&lt;&gt;""), 0), 0) - 1,"")</f>
        <v/>
      </c>
      <c r="K212" s="19" t="b">
        <v>0</v>
      </c>
      <c r="L212" s="17"/>
      <c r="M212" s="23"/>
    </row>
    <row r="213" spans="2:13" s="10" customFormat="1" ht="25.2" customHeight="1" outlineLevel="1" x14ac:dyDescent="0.45">
      <c r="B213" s="63"/>
      <c r="C213" s="24"/>
      <c r="D213" s="22" t="s">
        <v>67</v>
      </c>
      <c r="E213" s="13" t="s">
        <v>623</v>
      </c>
      <c r="F213" s="13"/>
      <c r="G213" s="13"/>
      <c r="H213" s="26" t="s">
        <v>43</v>
      </c>
      <c r="I213" s="20"/>
      <c r="J213" s="15" t="str" cm="1">
        <f t="array" ref="J213">IF(B213&lt;&gt;"",MATCH(TRUE, INDEX((B214:B$9601&lt;&gt;""), 0), 0) - 1,"")</f>
        <v/>
      </c>
      <c r="K213" s="19" t="b">
        <v>0</v>
      </c>
      <c r="L213" s="17"/>
      <c r="M213" s="23"/>
    </row>
    <row r="214" spans="2:13" s="10" customFormat="1" ht="25.2" customHeight="1" outlineLevel="1" x14ac:dyDescent="0.45">
      <c r="B214" s="63"/>
      <c r="C214" s="24"/>
      <c r="D214" s="22" t="s">
        <v>499</v>
      </c>
      <c r="E214" s="13" t="s">
        <v>623</v>
      </c>
      <c r="F214" s="13"/>
      <c r="G214" s="13"/>
      <c r="H214" s="14" t="s">
        <v>32</v>
      </c>
      <c r="I214" s="20"/>
      <c r="J214" s="15" t="str" cm="1">
        <f t="array" ref="J214">IF(B214&lt;&gt;"",MATCH(TRUE, INDEX((B215:B$9601&lt;&gt;""), 0), 0) - 1,"")</f>
        <v/>
      </c>
      <c r="K214" s="19" t="b">
        <v>0</v>
      </c>
      <c r="L214" s="17"/>
      <c r="M214" s="23"/>
    </row>
    <row r="215" spans="2:13" s="10" customFormat="1" ht="25.2" customHeight="1" outlineLevel="1" x14ac:dyDescent="0.45">
      <c r="B215" s="63"/>
      <c r="C215" s="24"/>
      <c r="D215" s="22" t="s">
        <v>68</v>
      </c>
      <c r="E215" s="13" t="s">
        <v>623</v>
      </c>
      <c r="F215" s="13"/>
      <c r="G215" s="13"/>
      <c r="H215" s="26" t="s">
        <v>43</v>
      </c>
      <c r="I215" s="20"/>
      <c r="J215" s="15" t="str" cm="1">
        <f t="array" ref="J215">IF(B215&lt;&gt;"",MATCH(TRUE, INDEX((B216:B$9601&lt;&gt;""), 0), 0) - 1,"")</f>
        <v/>
      </c>
      <c r="K215" s="19" t="b">
        <v>0</v>
      </c>
      <c r="L215" s="17"/>
      <c r="M215" s="23"/>
    </row>
    <row r="216" spans="2:13" s="10" customFormat="1" ht="25.2" customHeight="1" outlineLevel="1" x14ac:dyDescent="0.45">
      <c r="B216" s="63"/>
      <c r="C216" s="24"/>
      <c r="D216" s="22" t="s">
        <v>69</v>
      </c>
      <c r="E216" s="13" t="s">
        <v>623</v>
      </c>
      <c r="F216" s="13"/>
      <c r="G216" s="13"/>
      <c r="H216" s="26" t="s">
        <v>43</v>
      </c>
      <c r="I216" s="20"/>
      <c r="J216" s="15" t="str" cm="1">
        <f t="array" ref="J216">IF(B216&lt;&gt;"",MATCH(TRUE, INDEX((B217:B$9601&lt;&gt;""), 0), 0) - 1,"")</f>
        <v/>
      </c>
      <c r="K216" s="19" t="b">
        <v>0</v>
      </c>
      <c r="L216" s="17"/>
      <c r="M216" s="23"/>
    </row>
    <row r="217" spans="2:13" s="10" customFormat="1" ht="25.2" customHeight="1" outlineLevel="1" x14ac:dyDescent="0.45">
      <c r="B217" s="63"/>
      <c r="C217" s="24"/>
      <c r="D217" s="79" t="s">
        <v>70</v>
      </c>
      <c r="E217" s="13" t="s">
        <v>623</v>
      </c>
      <c r="F217" s="13"/>
      <c r="G217" s="13"/>
      <c r="H217" s="26" t="s">
        <v>43</v>
      </c>
      <c r="I217" s="20"/>
      <c r="J217" s="15" t="str" cm="1">
        <f t="array" ref="J217">IF(B217&lt;&gt;"",MATCH(TRUE, INDEX((B218:B$9601&lt;&gt;""), 0), 0) - 1,"")</f>
        <v/>
      </c>
      <c r="K217" s="19" t="b">
        <v>0</v>
      </c>
      <c r="L217" s="17"/>
      <c r="M217" s="23"/>
    </row>
    <row r="218" spans="2:13" s="10" customFormat="1" ht="25.2" customHeight="1" outlineLevel="1" x14ac:dyDescent="0.45">
      <c r="B218" s="63"/>
      <c r="C218" s="24"/>
      <c r="D218" s="22" t="s">
        <v>500</v>
      </c>
      <c r="E218" s="13" t="s">
        <v>623</v>
      </c>
      <c r="F218" s="13"/>
      <c r="G218" s="13"/>
      <c r="H218" s="26" t="s">
        <v>33</v>
      </c>
      <c r="I218" s="20"/>
      <c r="J218" s="15" t="str" cm="1">
        <f t="array" ref="J218">IF(B218&lt;&gt;"",MATCH(TRUE, INDEX((B219:B$9601&lt;&gt;""), 0), 0) - 1,"")</f>
        <v/>
      </c>
      <c r="K218" s="19" t="b">
        <v>1</v>
      </c>
      <c r="L218" s="17"/>
      <c r="M218" s="23"/>
    </row>
    <row r="219" spans="2:13" s="10" customFormat="1" ht="25.2" customHeight="1" outlineLevel="1" x14ac:dyDescent="0.45">
      <c r="B219" s="63"/>
      <c r="C219" s="24"/>
      <c r="D219" s="22" t="s">
        <v>501</v>
      </c>
      <c r="E219" s="13" t="s">
        <v>623</v>
      </c>
      <c r="F219" s="13"/>
      <c r="G219" s="13"/>
      <c r="H219" s="26" t="s">
        <v>33</v>
      </c>
      <c r="I219" s="20"/>
      <c r="J219" s="15" t="str" cm="1">
        <f t="array" ref="J219">IF(B219&lt;&gt;"",MATCH(TRUE, INDEX((B220:B$9601&lt;&gt;""), 0), 0) - 1,"")</f>
        <v/>
      </c>
      <c r="K219" s="19" t="b">
        <v>1</v>
      </c>
      <c r="L219" s="17"/>
      <c r="M219" s="23"/>
    </row>
    <row r="220" spans="2:13" s="10" customFormat="1" ht="25.2" customHeight="1" x14ac:dyDescent="0.45">
      <c r="B220" s="63">
        <v>20</v>
      </c>
      <c r="C220" s="74" t="s">
        <v>467</v>
      </c>
      <c r="D220" s="22" t="s">
        <v>332</v>
      </c>
      <c r="E220" s="13" t="s">
        <v>623</v>
      </c>
      <c r="F220" s="13"/>
      <c r="G220" s="13"/>
      <c r="H220" s="14" t="str">
        <f>IF(K220=100, "FINISH", IF(K220&gt;0, "IN PROGRESS", IF(K220=0, "SCHED-OK", "")))</f>
        <v>SCHED-OK</v>
      </c>
      <c r="I220" s="20" t="s">
        <v>56</v>
      </c>
      <c r="J220" s="15" cm="1">
        <f t="array" ref="J220">IF(B220&lt;&gt;"",MATCH(TRUE, INDEX((B221:B$9601&lt;&gt;""), 0), 0) - 1,"")</f>
        <v>13</v>
      </c>
      <c r="K220" s="16">
        <f>IF(J220&gt;0, COUNTIF(K221:INDEX(K221:K$9577, J220), TRUE)/J220*100, "")</f>
        <v>0</v>
      </c>
      <c r="L220" s="17" t="s">
        <v>20</v>
      </c>
      <c r="M220" s="18"/>
    </row>
    <row r="221" spans="2:13" s="10" customFormat="1" ht="25.2" customHeight="1" outlineLevel="1" x14ac:dyDescent="0.45">
      <c r="B221" s="63"/>
      <c r="C221" s="12"/>
      <c r="D221" s="22" t="s">
        <v>63</v>
      </c>
      <c r="E221" s="13" t="s">
        <v>623</v>
      </c>
      <c r="F221" s="13"/>
      <c r="G221" s="13"/>
      <c r="H221" s="26" t="s">
        <v>43</v>
      </c>
      <c r="I221" s="20"/>
      <c r="J221" s="15" t="str" cm="1">
        <f t="array" ref="J221">IF(B221&lt;&gt;"",MATCH(TRUE, INDEX((B222:B$9601&lt;&gt;""), 0), 0) - 1,"")</f>
        <v/>
      </c>
      <c r="K221" s="19" t="b">
        <v>0</v>
      </c>
      <c r="L221" s="17"/>
      <c r="M221" s="23"/>
    </row>
    <row r="222" spans="2:13" s="10" customFormat="1" ht="25.2" customHeight="1" outlineLevel="1" x14ac:dyDescent="0.45">
      <c r="B222" s="63"/>
      <c r="C222" s="12"/>
      <c r="D222" s="22" t="s">
        <v>64</v>
      </c>
      <c r="E222" s="13" t="s">
        <v>623</v>
      </c>
      <c r="F222" s="13"/>
      <c r="G222" s="13"/>
      <c r="H222" s="26" t="s">
        <v>43</v>
      </c>
      <c r="I222" s="20"/>
      <c r="J222" s="15" t="str" cm="1">
        <f t="array" ref="J222">IF(B222&lt;&gt;"",MATCH(TRUE, INDEX((B223:B$9601&lt;&gt;""), 0), 0) - 1,"")</f>
        <v/>
      </c>
      <c r="K222" s="19" t="b">
        <v>0</v>
      </c>
      <c r="L222" s="17"/>
      <c r="M222" s="23"/>
    </row>
    <row r="223" spans="2:13" s="10" customFormat="1" ht="25.2" customHeight="1" outlineLevel="1" x14ac:dyDescent="0.45">
      <c r="B223" s="63"/>
      <c r="C223" s="12"/>
      <c r="D223" s="22" t="s">
        <v>502</v>
      </c>
      <c r="E223" s="13" t="s">
        <v>623</v>
      </c>
      <c r="F223" s="13"/>
      <c r="G223" s="13"/>
      <c r="H223" s="26" t="s">
        <v>43</v>
      </c>
      <c r="I223" s="20"/>
      <c r="J223" s="15" t="str" cm="1">
        <f t="array" ref="J223">IF(B223&lt;&gt;"",MATCH(TRUE, INDEX((B224:B$9601&lt;&gt;""), 0), 0) - 1,"")</f>
        <v/>
      </c>
      <c r="K223" s="19" t="b">
        <v>0</v>
      </c>
      <c r="L223" s="17"/>
      <c r="M223" s="23"/>
    </row>
    <row r="224" spans="2:13" s="10" customFormat="1" ht="25.2" customHeight="1" outlineLevel="1" x14ac:dyDescent="0.45">
      <c r="B224" s="63"/>
      <c r="C224" s="12"/>
      <c r="D224" s="22" t="s">
        <v>503</v>
      </c>
      <c r="E224" s="13" t="s">
        <v>623</v>
      </c>
      <c r="F224" s="13"/>
      <c r="G224" s="13"/>
      <c r="H224" s="26" t="s">
        <v>43</v>
      </c>
      <c r="I224" s="20"/>
      <c r="J224" s="15" t="str" cm="1">
        <f t="array" ref="J224">IF(B224&lt;&gt;"",MATCH(TRUE, INDEX((B225:B$9601&lt;&gt;""), 0), 0) - 1,"")</f>
        <v/>
      </c>
      <c r="K224" s="19" t="b">
        <v>0</v>
      </c>
      <c r="L224" s="17"/>
      <c r="M224" s="23"/>
    </row>
    <row r="225" spans="2:13" s="10" customFormat="1" ht="25.2" customHeight="1" outlineLevel="1" x14ac:dyDescent="0.45">
      <c r="B225" s="63"/>
      <c r="C225" s="12"/>
      <c r="D225" s="22" t="s">
        <v>504</v>
      </c>
      <c r="E225" s="13" t="s">
        <v>623</v>
      </c>
      <c r="F225" s="13"/>
      <c r="G225" s="13"/>
      <c r="H225" s="26" t="s">
        <v>43</v>
      </c>
      <c r="I225" s="20"/>
      <c r="J225" s="15" t="str" cm="1">
        <f t="array" ref="J225">IF(B225&lt;&gt;"",MATCH(TRUE, INDEX((B226:B$9601&lt;&gt;""), 0), 0) - 1,"")</f>
        <v/>
      </c>
      <c r="K225" s="19" t="b">
        <v>0</v>
      </c>
      <c r="L225" s="17"/>
      <c r="M225" s="23"/>
    </row>
    <row r="226" spans="2:13" s="10" customFormat="1" ht="25.2" customHeight="1" outlineLevel="1" x14ac:dyDescent="0.45">
      <c r="B226" s="63"/>
      <c r="C226" s="12"/>
      <c r="D226" s="22" t="s">
        <v>505</v>
      </c>
      <c r="E226" s="13" t="s">
        <v>623</v>
      </c>
      <c r="F226" s="13"/>
      <c r="G226" s="13"/>
      <c r="H226" s="26" t="s">
        <v>33</v>
      </c>
      <c r="I226" s="20"/>
      <c r="J226" s="15" t="str" cm="1">
        <f t="array" ref="J226">IF(B226&lt;&gt;"",MATCH(TRUE, INDEX((B227:B$9601&lt;&gt;""), 0), 0) - 1,"")</f>
        <v/>
      </c>
      <c r="K226" s="19" t="b">
        <v>0</v>
      </c>
      <c r="L226" s="17"/>
      <c r="M226" s="23"/>
    </row>
    <row r="227" spans="2:13" s="10" customFormat="1" ht="25.2" customHeight="1" outlineLevel="1" x14ac:dyDescent="0.45">
      <c r="B227" s="63"/>
      <c r="C227" s="12"/>
      <c r="D227" s="22" t="s">
        <v>506</v>
      </c>
      <c r="E227" s="13" t="s">
        <v>623</v>
      </c>
      <c r="F227" s="13"/>
      <c r="G227" s="13"/>
      <c r="H227" s="26" t="s">
        <v>33</v>
      </c>
      <c r="I227" s="20"/>
      <c r="J227" s="15" t="str" cm="1">
        <f t="array" ref="J227">IF(B227&lt;&gt;"",MATCH(TRUE, INDEX((B228:B$9601&lt;&gt;""), 0), 0) - 1,"")</f>
        <v/>
      </c>
      <c r="K227" s="19" t="b">
        <v>0</v>
      </c>
      <c r="L227" s="17"/>
      <c r="M227" s="23"/>
    </row>
    <row r="228" spans="2:13" s="10" customFormat="1" ht="25.2" customHeight="1" outlineLevel="1" x14ac:dyDescent="0.45">
      <c r="B228" s="63"/>
      <c r="C228" s="12"/>
      <c r="D228" s="22" t="s">
        <v>71</v>
      </c>
      <c r="E228" s="13" t="s">
        <v>623</v>
      </c>
      <c r="F228" s="13"/>
      <c r="G228" s="13"/>
      <c r="H228" s="26" t="s">
        <v>43</v>
      </c>
      <c r="I228" s="20"/>
      <c r="J228" s="15" t="str" cm="1">
        <f t="array" ref="J228">IF(B228&lt;&gt;"",MATCH(TRUE, INDEX((B229:B$9601&lt;&gt;""), 0), 0) - 1,"")</f>
        <v/>
      </c>
      <c r="K228" s="19" t="b">
        <v>0</v>
      </c>
      <c r="L228" s="17"/>
      <c r="M228" s="23"/>
    </row>
    <row r="229" spans="2:13" s="10" customFormat="1" ht="25.2" customHeight="1" outlineLevel="1" x14ac:dyDescent="0.45">
      <c r="B229" s="63"/>
      <c r="C229" s="12"/>
      <c r="D229" s="22" t="s">
        <v>72</v>
      </c>
      <c r="E229" s="13" t="s">
        <v>623</v>
      </c>
      <c r="F229" s="13"/>
      <c r="G229" s="13"/>
      <c r="H229" s="26" t="s">
        <v>43</v>
      </c>
      <c r="I229" s="20"/>
      <c r="J229" s="15" t="str" cm="1">
        <f t="array" ref="J229">IF(B229&lt;&gt;"",MATCH(TRUE, INDEX((B230:B$9601&lt;&gt;""), 0), 0) - 1,"")</f>
        <v/>
      </c>
      <c r="K229" s="19" t="b">
        <v>0</v>
      </c>
      <c r="L229" s="17"/>
      <c r="M229" s="23"/>
    </row>
    <row r="230" spans="2:13" s="10" customFormat="1" ht="25.2" customHeight="1" outlineLevel="1" x14ac:dyDescent="0.45">
      <c r="B230" s="63"/>
      <c r="C230" s="12"/>
      <c r="D230" s="22" t="s">
        <v>73</v>
      </c>
      <c r="E230" s="13" t="s">
        <v>623</v>
      </c>
      <c r="F230" s="13"/>
      <c r="G230" s="13"/>
      <c r="H230" s="26" t="s">
        <v>43</v>
      </c>
      <c r="I230" s="20"/>
      <c r="J230" s="15" t="str" cm="1">
        <f t="array" ref="J230">IF(B230&lt;&gt;"",MATCH(TRUE, INDEX((B231:B$9601&lt;&gt;""), 0), 0) - 1,"")</f>
        <v/>
      </c>
      <c r="K230" s="19" t="b">
        <v>0</v>
      </c>
      <c r="L230" s="17"/>
      <c r="M230" s="23"/>
    </row>
    <row r="231" spans="2:13" s="10" customFormat="1" ht="25.2" customHeight="1" outlineLevel="1" x14ac:dyDescent="0.45">
      <c r="B231" s="63"/>
      <c r="C231" s="12"/>
      <c r="D231" s="22" t="s">
        <v>74</v>
      </c>
      <c r="E231" s="13" t="s">
        <v>623</v>
      </c>
      <c r="F231" s="13"/>
      <c r="G231" s="13"/>
      <c r="H231" s="26" t="s">
        <v>43</v>
      </c>
      <c r="I231" s="20"/>
      <c r="J231" s="15" t="str" cm="1">
        <f t="array" ref="J231">IF(B231&lt;&gt;"",MATCH(TRUE, INDEX((B232:B$9601&lt;&gt;""), 0), 0) - 1,"")</f>
        <v/>
      </c>
      <c r="K231" s="19" t="b">
        <v>0</v>
      </c>
      <c r="L231" s="17"/>
      <c r="M231" s="23"/>
    </row>
    <row r="232" spans="2:13" s="10" customFormat="1" ht="25.2" customHeight="1" outlineLevel="1" x14ac:dyDescent="0.45">
      <c r="B232" s="63"/>
      <c r="C232" s="12"/>
      <c r="D232" s="22" t="s">
        <v>75</v>
      </c>
      <c r="E232" s="13" t="s">
        <v>623</v>
      </c>
      <c r="F232" s="13"/>
      <c r="G232" s="13"/>
      <c r="H232" s="26" t="s">
        <v>43</v>
      </c>
      <c r="I232" s="20"/>
      <c r="J232" s="15" t="str" cm="1">
        <f t="array" ref="J232">IF(B232&lt;&gt;"",MATCH(TRUE, INDEX((B233:B$9601&lt;&gt;""), 0), 0) - 1,"")</f>
        <v/>
      </c>
      <c r="K232" s="19" t="b">
        <v>0</v>
      </c>
      <c r="L232" s="17"/>
      <c r="M232" s="23"/>
    </row>
    <row r="233" spans="2:13" s="10" customFormat="1" ht="25.2" customHeight="1" outlineLevel="1" x14ac:dyDescent="0.45">
      <c r="B233" s="63"/>
      <c r="C233" s="12"/>
      <c r="D233" s="22" t="s">
        <v>507</v>
      </c>
      <c r="E233" s="13" t="s">
        <v>623</v>
      </c>
      <c r="F233" s="13"/>
      <c r="G233" s="13"/>
      <c r="H233" s="14" t="s">
        <v>32</v>
      </c>
      <c r="I233" s="20"/>
      <c r="J233" s="15" t="str" cm="1">
        <f t="array" ref="J233">IF(B233&lt;&gt;"",MATCH(TRUE, INDEX((B234:B$9601&lt;&gt;""), 0), 0) - 1,"")</f>
        <v/>
      </c>
      <c r="K233" s="19" t="b">
        <v>0</v>
      </c>
      <c r="L233" s="17"/>
      <c r="M233" s="23"/>
    </row>
    <row r="234" spans="2:13" s="10" customFormat="1" ht="25.2" customHeight="1" x14ac:dyDescent="0.45">
      <c r="B234" s="63">
        <v>21</v>
      </c>
      <c r="C234" s="74" t="s">
        <v>467</v>
      </c>
      <c r="D234" s="22" t="s">
        <v>333</v>
      </c>
      <c r="E234" s="13" t="s">
        <v>623</v>
      </c>
      <c r="F234" s="13"/>
      <c r="G234" s="13"/>
      <c r="H234" s="14" t="str">
        <f>IF(K234=100, "FINISH", IF(K234&gt;0, "IN PROGRESS", IF(K234=0, "SCHED-OK", "")))</f>
        <v>FINISH</v>
      </c>
      <c r="I234" s="20" t="s">
        <v>76</v>
      </c>
      <c r="J234" s="15" cm="1">
        <f t="array" ref="J234">IF(B234&lt;&gt;"",MATCH(TRUE, INDEX((B235:B$9601&lt;&gt;""), 0), 0) - 1,"")</f>
        <v>9</v>
      </c>
      <c r="K234" s="16">
        <f>IF(J234&gt;0, COUNTIF(K235:INDEX(K235:K$9577, J234), TRUE)/J234*100, "")</f>
        <v>100</v>
      </c>
      <c r="L234" s="17" t="s">
        <v>20</v>
      </c>
      <c r="M234" s="18"/>
    </row>
    <row r="235" spans="2:13" s="10" customFormat="1" ht="25.2" customHeight="1" outlineLevel="1" x14ac:dyDescent="0.45">
      <c r="B235" s="63"/>
      <c r="C235" s="24"/>
      <c r="D235" s="22" t="s">
        <v>21</v>
      </c>
      <c r="E235" s="13" t="s">
        <v>623</v>
      </c>
      <c r="F235" s="13"/>
      <c r="G235" s="13"/>
      <c r="H235" s="14"/>
      <c r="I235" s="20" t="s">
        <v>33</v>
      </c>
      <c r="J235" s="15" t="str" cm="1">
        <f t="array" ref="J235">IF(B235&lt;&gt;"",MATCH(TRUE, INDEX((B236:B$9601&lt;&gt;""), 0), 0) - 1,"")</f>
        <v/>
      </c>
      <c r="K235" s="19" t="b">
        <v>1</v>
      </c>
      <c r="L235" s="17"/>
      <c r="M235" s="23"/>
    </row>
    <row r="236" spans="2:13" s="10" customFormat="1" ht="25.2" customHeight="1" outlineLevel="1" x14ac:dyDescent="0.45">
      <c r="B236" s="63"/>
      <c r="C236" s="24"/>
      <c r="D236" s="22" t="s">
        <v>22</v>
      </c>
      <c r="E236" s="13" t="s">
        <v>623</v>
      </c>
      <c r="F236" s="13"/>
      <c r="G236" s="13"/>
      <c r="H236" s="14"/>
      <c r="I236" s="20" t="s">
        <v>33</v>
      </c>
      <c r="J236" s="15" t="str" cm="1">
        <f t="array" ref="J236">IF(B236&lt;&gt;"",MATCH(TRUE, INDEX((B237:B$9601&lt;&gt;""), 0), 0) - 1,"")</f>
        <v/>
      </c>
      <c r="K236" s="19" t="b">
        <v>1</v>
      </c>
      <c r="L236" s="17"/>
      <c r="M236" s="23"/>
    </row>
    <row r="237" spans="2:13" s="10" customFormat="1" ht="25.2" customHeight="1" outlineLevel="1" x14ac:dyDescent="0.45">
      <c r="B237" s="63"/>
      <c r="C237" s="24"/>
      <c r="D237" s="22" t="s">
        <v>77</v>
      </c>
      <c r="E237" s="13" t="s">
        <v>623</v>
      </c>
      <c r="F237" s="13"/>
      <c r="G237" s="13"/>
      <c r="H237" s="14"/>
      <c r="I237" s="20" t="s">
        <v>33</v>
      </c>
      <c r="J237" s="15" t="str" cm="1">
        <f t="array" ref="J237">IF(B237&lt;&gt;"",MATCH(TRUE, INDEX((B238:B$9601&lt;&gt;""), 0), 0) - 1,"")</f>
        <v/>
      </c>
      <c r="K237" s="19" t="b">
        <v>1</v>
      </c>
      <c r="L237" s="17"/>
      <c r="M237" s="23"/>
    </row>
    <row r="238" spans="2:13" s="10" customFormat="1" ht="25.2" customHeight="1" outlineLevel="1" x14ac:dyDescent="0.45">
      <c r="B238" s="63"/>
      <c r="C238" s="24"/>
      <c r="D238" s="22" t="s">
        <v>24</v>
      </c>
      <c r="E238" s="13" t="s">
        <v>623</v>
      </c>
      <c r="F238" s="13"/>
      <c r="G238" s="13"/>
      <c r="H238" s="14"/>
      <c r="I238" s="20" t="s">
        <v>33</v>
      </c>
      <c r="J238" s="15" t="str" cm="1">
        <f t="array" ref="J238">IF(B238&lt;&gt;"",MATCH(TRUE, INDEX((B239:B$9601&lt;&gt;""), 0), 0) - 1,"")</f>
        <v/>
      </c>
      <c r="K238" s="19" t="b">
        <v>1</v>
      </c>
      <c r="L238" s="17"/>
      <c r="M238" s="23"/>
    </row>
    <row r="239" spans="2:13" s="10" customFormat="1" ht="25.2" customHeight="1" outlineLevel="1" x14ac:dyDescent="0.45">
      <c r="B239" s="63"/>
      <c r="C239" s="24"/>
      <c r="D239" s="22" t="s">
        <v>26</v>
      </c>
      <c r="E239" s="13" t="s">
        <v>623</v>
      </c>
      <c r="F239" s="13"/>
      <c r="G239" s="13"/>
      <c r="H239" s="14"/>
      <c r="I239" s="20" t="s">
        <v>33</v>
      </c>
      <c r="J239" s="15" t="str" cm="1">
        <f t="array" ref="J239">IF(B239&lt;&gt;"",MATCH(TRUE, INDEX((B240:B$9601&lt;&gt;""), 0), 0) - 1,"")</f>
        <v/>
      </c>
      <c r="K239" s="19" t="b">
        <v>1</v>
      </c>
      <c r="L239" s="17"/>
      <c r="M239" s="23"/>
    </row>
    <row r="240" spans="2:13" s="10" customFormat="1" ht="25.2" customHeight="1" outlineLevel="1" x14ac:dyDescent="0.45">
      <c r="B240" s="63"/>
      <c r="C240" s="24"/>
      <c r="D240" s="22" t="s">
        <v>27</v>
      </c>
      <c r="E240" s="13" t="s">
        <v>623</v>
      </c>
      <c r="F240" s="13"/>
      <c r="G240" s="13"/>
      <c r="H240" s="14"/>
      <c r="I240" s="20" t="s">
        <v>33</v>
      </c>
      <c r="J240" s="15" t="str" cm="1">
        <f t="array" ref="J240">IF(B240&lt;&gt;"",MATCH(TRUE, INDEX((B241:B$9601&lt;&gt;""), 0), 0) - 1,"")</f>
        <v/>
      </c>
      <c r="K240" s="19" t="b">
        <v>1</v>
      </c>
      <c r="L240" s="17"/>
      <c r="M240" s="23"/>
    </row>
    <row r="241" spans="2:13" s="10" customFormat="1" ht="25.2" customHeight="1" outlineLevel="1" x14ac:dyDescent="0.45">
      <c r="B241" s="63"/>
      <c r="C241" s="24"/>
      <c r="D241" s="22" t="s">
        <v>28</v>
      </c>
      <c r="E241" s="13" t="s">
        <v>623</v>
      </c>
      <c r="F241" s="13"/>
      <c r="G241" s="13"/>
      <c r="H241" s="14"/>
      <c r="I241" s="20" t="s">
        <v>33</v>
      </c>
      <c r="J241" s="15" t="str" cm="1">
        <f t="array" ref="J241">IF(B241&lt;&gt;"",MATCH(TRUE, INDEX((B242:B$9601&lt;&gt;""), 0), 0) - 1,"")</f>
        <v/>
      </c>
      <c r="K241" s="19" t="b">
        <v>1</v>
      </c>
      <c r="L241" s="17"/>
      <c r="M241" s="23"/>
    </row>
    <row r="242" spans="2:13" s="10" customFormat="1" ht="25.2" customHeight="1" outlineLevel="1" x14ac:dyDescent="0.45">
      <c r="B242" s="63"/>
      <c r="C242" s="24"/>
      <c r="D242" s="22" t="s">
        <v>508</v>
      </c>
      <c r="E242" s="13" t="s">
        <v>623</v>
      </c>
      <c r="F242" s="13"/>
      <c r="G242" s="13"/>
      <c r="H242" s="14"/>
      <c r="I242" s="20" t="s">
        <v>33</v>
      </c>
      <c r="J242" s="15" t="str" cm="1">
        <f t="array" ref="J242">IF(B242&lt;&gt;"",MATCH(TRUE, INDEX((B243:B$9601&lt;&gt;""), 0), 0) - 1,"")</f>
        <v/>
      </c>
      <c r="K242" s="19" t="b">
        <v>1</v>
      </c>
      <c r="L242" s="17"/>
      <c r="M242" s="23"/>
    </row>
    <row r="243" spans="2:13" s="10" customFormat="1" ht="25.2" customHeight="1" outlineLevel="1" x14ac:dyDescent="0.45">
      <c r="B243" s="63"/>
      <c r="C243" s="24"/>
      <c r="D243" s="22" t="s">
        <v>509</v>
      </c>
      <c r="E243" s="13" t="s">
        <v>623</v>
      </c>
      <c r="F243" s="13"/>
      <c r="G243" s="13"/>
      <c r="H243" s="14"/>
      <c r="I243" s="20" t="s">
        <v>33</v>
      </c>
      <c r="J243" s="15" t="str" cm="1">
        <f t="array" ref="J243">IF(B243&lt;&gt;"",MATCH(TRUE, INDEX((B244:B$9601&lt;&gt;""), 0), 0) - 1,"")</f>
        <v/>
      </c>
      <c r="K243" s="19" t="b">
        <v>1</v>
      </c>
      <c r="L243" s="17"/>
      <c r="M243" s="23"/>
    </row>
    <row r="244" spans="2:13" s="10" customFormat="1" ht="25.2" customHeight="1" x14ac:dyDescent="0.45">
      <c r="B244" s="63">
        <v>22</v>
      </c>
      <c r="C244" s="74" t="s">
        <v>467</v>
      </c>
      <c r="D244" s="22" t="s">
        <v>334</v>
      </c>
      <c r="E244" s="13" t="s">
        <v>623</v>
      </c>
      <c r="F244" s="13"/>
      <c r="G244" s="13"/>
      <c r="H244" s="14" t="str">
        <f>IF(K244=100, "FINISH", IF(K244&gt;0, "IN PROGRESS", IF(K244=0, "SCHED-OK", "")))</f>
        <v>FINISH</v>
      </c>
      <c r="I244" s="20" t="s">
        <v>76</v>
      </c>
      <c r="J244" s="15" cm="1">
        <f t="array" ref="J244">IF(B244&lt;&gt;"",MATCH(TRUE, INDEX((B245:B$9601&lt;&gt;""), 0), 0) - 1,"")</f>
        <v>7</v>
      </c>
      <c r="K244" s="16">
        <f>IF(J244&gt;0, COUNTIF(K245:INDEX(K245:K$9577, J244), TRUE)/J244*100, "")</f>
        <v>100</v>
      </c>
      <c r="L244" s="17" t="s">
        <v>20</v>
      </c>
      <c r="M244" s="18"/>
    </row>
    <row r="245" spans="2:13" s="10" customFormat="1" ht="25.2" customHeight="1" outlineLevel="1" x14ac:dyDescent="0.45">
      <c r="B245" s="63"/>
      <c r="C245" s="24"/>
      <c r="D245" s="22" t="s">
        <v>21</v>
      </c>
      <c r="E245" s="13" t="s">
        <v>623</v>
      </c>
      <c r="F245" s="13"/>
      <c r="G245" s="13"/>
      <c r="H245" s="14"/>
      <c r="I245" s="20"/>
      <c r="J245" s="15" t="str" cm="1">
        <f t="array" ref="J245">IF(B245&lt;&gt;"",MATCH(TRUE, INDEX((B246:B$9601&lt;&gt;""), 0), 0) - 1,"")</f>
        <v/>
      </c>
      <c r="K245" s="19" t="b">
        <v>1</v>
      </c>
      <c r="L245" s="17"/>
      <c r="M245" s="23"/>
    </row>
    <row r="246" spans="2:13" s="10" customFormat="1" ht="25.2" customHeight="1" outlineLevel="1" x14ac:dyDescent="0.45">
      <c r="B246" s="63"/>
      <c r="C246" s="24"/>
      <c r="D246" s="22" t="s">
        <v>22</v>
      </c>
      <c r="E246" s="13" t="s">
        <v>623</v>
      </c>
      <c r="F246" s="13"/>
      <c r="G246" s="13"/>
      <c r="H246" s="14"/>
      <c r="I246" s="20"/>
      <c r="J246" s="15" t="str" cm="1">
        <f t="array" ref="J246">IF(B246&lt;&gt;"",MATCH(TRUE, INDEX((B247:B$9601&lt;&gt;""), 0), 0) - 1,"")</f>
        <v/>
      </c>
      <c r="K246" s="19" t="b">
        <v>1</v>
      </c>
      <c r="L246" s="17"/>
      <c r="M246" s="23"/>
    </row>
    <row r="247" spans="2:13" s="10" customFormat="1" ht="25.2" customHeight="1" outlineLevel="1" x14ac:dyDescent="0.45">
      <c r="B247" s="63"/>
      <c r="C247" s="24"/>
      <c r="D247" s="22" t="s">
        <v>78</v>
      </c>
      <c r="E247" s="13" t="s">
        <v>623</v>
      </c>
      <c r="F247" s="13"/>
      <c r="G247" s="13"/>
      <c r="H247" s="14"/>
      <c r="I247" s="20"/>
      <c r="J247" s="15" t="str" cm="1">
        <f t="array" ref="J247">IF(B247&lt;&gt;"",MATCH(TRUE, INDEX((B248:B$9601&lt;&gt;""), 0), 0) - 1,"")</f>
        <v/>
      </c>
      <c r="K247" s="19" t="b">
        <v>1</v>
      </c>
      <c r="L247" s="17"/>
      <c r="M247" s="23"/>
    </row>
    <row r="248" spans="2:13" s="10" customFormat="1" ht="25.2" customHeight="1" outlineLevel="1" x14ac:dyDescent="0.45">
      <c r="B248" s="63"/>
      <c r="C248" s="24"/>
      <c r="D248" s="22" t="s">
        <v>24</v>
      </c>
      <c r="E248" s="13" t="s">
        <v>623</v>
      </c>
      <c r="F248" s="13"/>
      <c r="G248" s="13"/>
      <c r="H248" s="14"/>
      <c r="I248" s="20"/>
      <c r="J248" s="15" t="str" cm="1">
        <f t="array" ref="J248">IF(B248&lt;&gt;"",MATCH(TRUE, INDEX((B249:B$9601&lt;&gt;""), 0), 0) - 1,"")</f>
        <v/>
      </c>
      <c r="K248" s="19" t="b">
        <v>1</v>
      </c>
      <c r="L248" s="17"/>
      <c r="M248" s="23"/>
    </row>
    <row r="249" spans="2:13" s="10" customFormat="1" ht="25.2" customHeight="1" outlineLevel="1" x14ac:dyDescent="0.45">
      <c r="B249" s="63"/>
      <c r="C249" s="24"/>
      <c r="D249" s="22" t="s">
        <v>26</v>
      </c>
      <c r="E249" s="13" t="s">
        <v>623</v>
      </c>
      <c r="F249" s="13"/>
      <c r="G249" s="13"/>
      <c r="H249" s="14"/>
      <c r="I249" s="20"/>
      <c r="J249" s="15" t="str" cm="1">
        <f t="array" ref="J249">IF(B249&lt;&gt;"",MATCH(TRUE, INDEX((B250:B$9601&lt;&gt;""), 0), 0) - 1,"")</f>
        <v/>
      </c>
      <c r="K249" s="19" t="b">
        <v>1</v>
      </c>
      <c r="L249" s="17"/>
      <c r="M249" s="23"/>
    </row>
    <row r="250" spans="2:13" s="10" customFormat="1" ht="25.2" customHeight="1" outlineLevel="1" x14ac:dyDescent="0.45">
      <c r="B250" s="63"/>
      <c r="C250" s="24"/>
      <c r="D250" s="22" t="s">
        <v>27</v>
      </c>
      <c r="E250" s="13" t="s">
        <v>623</v>
      </c>
      <c r="F250" s="13"/>
      <c r="G250" s="13"/>
      <c r="H250" s="14"/>
      <c r="I250" s="20"/>
      <c r="J250" s="15" t="str" cm="1">
        <f t="array" ref="J250">IF(B250&lt;&gt;"",MATCH(TRUE, INDEX((B251:B$9601&lt;&gt;""), 0), 0) - 1,"")</f>
        <v/>
      </c>
      <c r="K250" s="19" t="b">
        <v>1</v>
      </c>
      <c r="L250" s="17"/>
      <c r="M250" s="23"/>
    </row>
    <row r="251" spans="2:13" s="10" customFormat="1" ht="25.2" customHeight="1" outlineLevel="1" x14ac:dyDescent="0.45">
      <c r="B251" s="63"/>
      <c r="C251" s="24"/>
      <c r="D251" s="22" t="s">
        <v>28</v>
      </c>
      <c r="E251" s="13" t="s">
        <v>623</v>
      </c>
      <c r="F251" s="13"/>
      <c r="G251" s="13"/>
      <c r="H251" s="14"/>
      <c r="I251" s="20"/>
      <c r="J251" s="15" t="str" cm="1">
        <f t="array" ref="J251">IF(B251&lt;&gt;"",MATCH(TRUE, INDEX((B252:B$9601&lt;&gt;""), 0), 0) - 1,"")</f>
        <v/>
      </c>
      <c r="K251" s="19" t="b">
        <v>1</v>
      </c>
      <c r="L251" s="17"/>
      <c r="M251" s="23"/>
    </row>
    <row r="252" spans="2:13" s="10" customFormat="1" ht="25.2" customHeight="1" x14ac:dyDescent="0.45">
      <c r="B252" s="63">
        <v>23</v>
      </c>
      <c r="C252" s="74" t="s">
        <v>467</v>
      </c>
      <c r="D252" s="22" t="s">
        <v>335</v>
      </c>
      <c r="E252" s="13" t="s">
        <v>623</v>
      </c>
      <c r="F252" s="13"/>
      <c r="G252" s="13"/>
      <c r="H252" s="14" t="str">
        <f>IF(K252=100, "FINISH", IF(K252&gt;0, "IN PROGRESS", IF(K252=0, "SCHED-OK", "")))</f>
        <v>IN PROGRESS</v>
      </c>
      <c r="I252" s="20" t="s">
        <v>79</v>
      </c>
      <c r="J252" s="15" cm="1">
        <f t="array" ref="J252">IF(B252&lt;&gt;"",MATCH(TRUE, INDEX((B253:B$9601&lt;&gt;""), 0), 0) - 1,"")</f>
        <v>19</v>
      </c>
      <c r="K252" s="16">
        <f>IF(J252&gt;0, COUNTIF(K253:INDEX(K253:K$9577, J252), TRUE)/J252*100, "")</f>
        <v>26.315789473684209</v>
      </c>
      <c r="L252" s="17" t="s">
        <v>20</v>
      </c>
      <c r="M252" s="18"/>
    </row>
    <row r="253" spans="2:13" s="10" customFormat="1" ht="25.2" customHeight="1" outlineLevel="1" x14ac:dyDescent="0.45">
      <c r="B253" s="63"/>
      <c r="C253" s="24"/>
      <c r="D253" s="22" t="s">
        <v>336</v>
      </c>
      <c r="E253" s="13" t="s">
        <v>623</v>
      </c>
      <c r="F253" s="13"/>
      <c r="G253" s="13"/>
      <c r="H253" s="14"/>
      <c r="I253" s="20" t="s">
        <v>33</v>
      </c>
      <c r="J253" s="15" t="str" cm="1">
        <f t="array" ref="J253">IF(B253&lt;&gt;"",MATCH(TRUE, INDEX((B254:B$9601&lt;&gt;""), 0), 0) - 1,"")</f>
        <v/>
      </c>
      <c r="K253" s="19" t="b">
        <v>0</v>
      </c>
      <c r="L253" s="17"/>
      <c r="M253" s="18"/>
    </row>
    <row r="254" spans="2:13" s="10" customFormat="1" ht="25.2" customHeight="1" outlineLevel="1" x14ac:dyDescent="0.45">
      <c r="B254" s="63"/>
      <c r="C254" s="24"/>
      <c r="D254" s="22" t="s">
        <v>337</v>
      </c>
      <c r="E254" s="13" t="s">
        <v>623</v>
      </c>
      <c r="F254" s="13"/>
      <c r="G254" s="13"/>
      <c r="H254" s="14"/>
      <c r="I254" s="20" t="s">
        <v>33</v>
      </c>
      <c r="J254" s="15" t="str" cm="1">
        <f t="array" ref="J254">IF(B254&lt;&gt;"",MATCH(TRUE, INDEX((B255:B$9601&lt;&gt;""), 0), 0) - 1,"")</f>
        <v/>
      </c>
      <c r="K254" s="19" t="b">
        <v>0</v>
      </c>
      <c r="L254" s="17"/>
      <c r="M254" s="18"/>
    </row>
    <row r="255" spans="2:13" s="10" customFormat="1" ht="25.2" customHeight="1" outlineLevel="1" x14ac:dyDescent="0.45">
      <c r="B255" s="63"/>
      <c r="C255" s="24"/>
      <c r="D255" s="22" t="s">
        <v>338</v>
      </c>
      <c r="E255" s="13" t="s">
        <v>623</v>
      </c>
      <c r="F255" s="13"/>
      <c r="G255" s="13"/>
      <c r="H255" s="14"/>
      <c r="I255" s="20" t="s">
        <v>33</v>
      </c>
      <c r="J255" s="15" t="str" cm="1">
        <f t="array" ref="J255">IF(B255&lt;&gt;"",MATCH(TRUE, INDEX((B256:B$9601&lt;&gt;""), 0), 0) - 1,"")</f>
        <v/>
      </c>
      <c r="K255" s="19" t="b">
        <v>0</v>
      </c>
      <c r="L255" s="17"/>
      <c r="M255" s="18"/>
    </row>
    <row r="256" spans="2:13" s="10" customFormat="1" ht="25.2" customHeight="1" outlineLevel="1" x14ac:dyDescent="0.45">
      <c r="B256" s="63"/>
      <c r="C256" s="24"/>
      <c r="D256" s="22" t="s">
        <v>339</v>
      </c>
      <c r="E256" s="13" t="s">
        <v>623</v>
      </c>
      <c r="F256" s="13"/>
      <c r="G256" s="13"/>
      <c r="H256" s="14"/>
      <c r="I256" s="20" t="s">
        <v>33</v>
      </c>
      <c r="J256" s="15" t="str" cm="1">
        <f t="array" ref="J256">IF(B256&lt;&gt;"",MATCH(TRUE, INDEX((B257:B$9601&lt;&gt;""), 0), 0) - 1,"")</f>
        <v/>
      </c>
      <c r="K256" s="19" t="b">
        <v>0</v>
      </c>
      <c r="L256" s="17"/>
      <c r="M256" s="18"/>
    </row>
    <row r="257" spans="2:13" s="10" customFormat="1" ht="25.2" customHeight="1" outlineLevel="1" x14ac:dyDescent="0.45">
      <c r="B257" s="63"/>
      <c r="C257" s="24"/>
      <c r="D257" s="22" t="s">
        <v>340</v>
      </c>
      <c r="E257" s="13" t="s">
        <v>623</v>
      </c>
      <c r="F257" s="13"/>
      <c r="G257" s="13"/>
      <c r="H257" s="14"/>
      <c r="I257" s="20" t="s">
        <v>33</v>
      </c>
      <c r="J257" s="15" t="str" cm="1">
        <f t="array" ref="J257">IF(B257&lt;&gt;"",MATCH(TRUE, INDEX((B258:B$9601&lt;&gt;""), 0), 0) - 1,"")</f>
        <v/>
      </c>
      <c r="K257" s="19" t="b">
        <v>0</v>
      </c>
      <c r="L257" s="17"/>
      <c r="M257" s="18"/>
    </row>
    <row r="258" spans="2:13" s="10" customFormat="1" ht="25.2" customHeight="1" outlineLevel="1" x14ac:dyDescent="0.45">
      <c r="B258" s="63"/>
      <c r="C258" s="24"/>
      <c r="D258" s="22" t="s">
        <v>341</v>
      </c>
      <c r="E258" s="13" t="s">
        <v>623</v>
      </c>
      <c r="F258" s="13"/>
      <c r="G258" s="13"/>
      <c r="H258" s="14"/>
      <c r="I258" s="20" t="s">
        <v>33</v>
      </c>
      <c r="J258" s="15" t="str" cm="1">
        <f t="array" ref="J258">IF(B258&lt;&gt;"",MATCH(TRUE, INDEX((B259:B$9601&lt;&gt;""), 0), 0) - 1,"")</f>
        <v/>
      </c>
      <c r="K258" s="19" t="b">
        <v>0</v>
      </c>
      <c r="L258" s="17"/>
      <c r="M258" s="18"/>
    </row>
    <row r="259" spans="2:13" s="10" customFormat="1" ht="25.2" customHeight="1" outlineLevel="1" x14ac:dyDescent="0.45">
      <c r="B259" s="63"/>
      <c r="C259" s="24"/>
      <c r="D259" s="22" t="s">
        <v>342</v>
      </c>
      <c r="E259" s="13" t="s">
        <v>623</v>
      </c>
      <c r="F259" s="13"/>
      <c r="G259" s="13"/>
      <c r="H259" s="14"/>
      <c r="I259" s="20" t="s">
        <v>33</v>
      </c>
      <c r="J259" s="15" t="str" cm="1">
        <f t="array" ref="J259">IF(B259&lt;&gt;"",MATCH(TRUE, INDEX((B260:B$9601&lt;&gt;""), 0), 0) - 1,"")</f>
        <v/>
      </c>
      <c r="K259" s="19" t="b">
        <v>0</v>
      </c>
      <c r="L259" s="17"/>
      <c r="M259" s="18"/>
    </row>
    <row r="260" spans="2:13" s="10" customFormat="1" ht="25.2" customHeight="1" outlineLevel="1" x14ac:dyDescent="0.45">
      <c r="B260" s="63"/>
      <c r="C260" s="24"/>
      <c r="D260" s="22" t="s">
        <v>343</v>
      </c>
      <c r="E260" s="13" t="s">
        <v>623</v>
      </c>
      <c r="F260" s="13"/>
      <c r="G260" s="13"/>
      <c r="H260" s="14"/>
      <c r="I260" s="20" t="s">
        <v>33</v>
      </c>
      <c r="J260" s="15" t="str" cm="1">
        <f t="array" ref="J260">IF(B260&lt;&gt;"",MATCH(TRUE, INDEX((B261:B$9601&lt;&gt;""), 0), 0) - 1,"")</f>
        <v/>
      </c>
      <c r="K260" s="19" t="b">
        <v>0</v>
      </c>
      <c r="L260" s="17"/>
      <c r="M260" s="18"/>
    </row>
    <row r="261" spans="2:13" s="10" customFormat="1" ht="25.2" customHeight="1" outlineLevel="1" x14ac:dyDescent="0.45">
      <c r="B261" s="63"/>
      <c r="C261" s="24"/>
      <c r="D261" s="22" t="s">
        <v>344</v>
      </c>
      <c r="E261" s="13" t="s">
        <v>623</v>
      </c>
      <c r="F261" s="13"/>
      <c r="G261" s="13"/>
      <c r="H261" s="14"/>
      <c r="I261" s="20" t="s">
        <v>33</v>
      </c>
      <c r="J261" s="15" t="str" cm="1">
        <f t="array" ref="J261">IF(B261&lt;&gt;"",MATCH(TRUE, INDEX((B262:B$9601&lt;&gt;""), 0), 0) - 1,"")</f>
        <v/>
      </c>
      <c r="K261" s="19" t="b">
        <v>0</v>
      </c>
      <c r="L261" s="17"/>
      <c r="M261" s="18"/>
    </row>
    <row r="262" spans="2:13" s="10" customFormat="1" ht="25.2" customHeight="1" outlineLevel="1" x14ac:dyDescent="0.45">
      <c r="B262" s="63"/>
      <c r="C262" s="24"/>
      <c r="D262" s="22" t="s">
        <v>345</v>
      </c>
      <c r="E262" s="13" t="s">
        <v>623</v>
      </c>
      <c r="F262" s="13"/>
      <c r="G262" s="13"/>
      <c r="H262" s="14"/>
      <c r="I262" s="20" t="s">
        <v>33</v>
      </c>
      <c r="J262" s="15" t="str" cm="1">
        <f t="array" ref="J262">IF(B262&lt;&gt;"",MATCH(TRUE, INDEX((B263:B$9601&lt;&gt;""), 0), 0) - 1,"")</f>
        <v/>
      </c>
      <c r="K262" s="19" t="b">
        <v>0</v>
      </c>
      <c r="L262" s="17"/>
      <c r="M262" s="18"/>
    </row>
    <row r="263" spans="2:13" s="10" customFormat="1" ht="25.2" customHeight="1" outlineLevel="1" x14ac:dyDescent="0.45">
      <c r="B263" s="63"/>
      <c r="C263" s="24"/>
      <c r="D263" s="22" t="s">
        <v>346</v>
      </c>
      <c r="E263" s="13" t="s">
        <v>623</v>
      </c>
      <c r="F263" s="13"/>
      <c r="G263" s="13"/>
      <c r="H263" s="14"/>
      <c r="I263" s="20" t="s">
        <v>33</v>
      </c>
      <c r="J263" s="15" t="str" cm="1">
        <f t="array" ref="J263">IF(B263&lt;&gt;"",MATCH(TRUE, INDEX((B264:B$9601&lt;&gt;""), 0), 0) - 1,"")</f>
        <v/>
      </c>
      <c r="K263" s="19" t="b">
        <v>0</v>
      </c>
      <c r="L263" s="17"/>
      <c r="M263" s="18"/>
    </row>
    <row r="264" spans="2:13" s="10" customFormat="1" ht="25.2" customHeight="1" outlineLevel="1" x14ac:dyDescent="0.45">
      <c r="B264" s="63"/>
      <c r="C264" s="24"/>
      <c r="D264" s="22" t="s">
        <v>347</v>
      </c>
      <c r="E264" s="13" t="s">
        <v>623</v>
      </c>
      <c r="F264" s="13"/>
      <c r="G264" s="13"/>
      <c r="H264" s="14"/>
      <c r="I264" s="20" t="s">
        <v>33</v>
      </c>
      <c r="J264" s="15" t="str" cm="1">
        <f t="array" ref="J264">IF(B264&lt;&gt;"",MATCH(TRUE, INDEX((B265:B$9601&lt;&gt;""), 0), 0) - 1,"")</f>
        <v/>
      </c>
      <c r="K264" s="19" t="b">
        <v>0</v>
      </c>
      <c r="L264" s="17"/>
      <c r="M264" s="18"/>
    </row>
    <row r="265" spans="2:13" s="10" customFormat="1" ht="25.2" customHeight="1" outlineLevel="1" x14ac:dyDescent="0.45">
      <c r="B265" s="63"/>
      <c r="C265" s="24"/>
      <c r="D265" s="22" t="s">
        <v>348</v>
      </c>
      <c r="E265" s="13" t="s">
        <v>623</v>
      </c>
      <c r="F265" s="13"/>
      <c r="G265" s="13"/>
      <c r="H265" s="14"/>
      <c r="I265" s="20" t="s">
        <v>33</v>
      </c>
      <c r="J265" s="15" t="str" cm="1">
        <f t="array" ref="J265">IF(B265&lt;&gt;"",MATCH(TRUE, INDEX((B266:B$9601&lt;&gt;""), 0), 0) - 1,"")</f>
        <v/>
      </c>
      <c r="K265" s="19" t="b">
        <v>0</v>
      </c>
      <c r="L265" s="17"/>
      <c r="M265" s="18"/>
    </row>
    <row r="266" spans="2:13" s="10" customFormat="1" ht="25.2" customHeight="1" outlineLevel="1" x14ac:dyDescent="0.45">
      <c r="B266" s="63"/>
      <c r="C266" s="24"/>
      <c r="D266" s="22" t="s">
        <v>349</v>
      </c>
      <c r="E266" s="13" t="s">
        <v>623</v>
      </c>
      <c r="F266" s="13"/>
      <c r="G266" s="13"/>
      <c r="H266" s="14"/>
      <c r="I266" s="20" t="s">
        <v>33</v>
      </c>
      <c r="J266" s="15" t="str" cm="1">
        <f t="array" ref="J266">IF(B266&lt;&gt;"",MATCH(TRUE, INDEX((B267:B$9601&lt;&gt;""), 0), 0) - 1,"")</f>
        <v/>
      </c>
      <c r="K266" s="19" t="b">
        <v>1</v>
      </c>
      <c r="L266" s="17"/>
      <c r="M266" s="18"/>
    </row>
    <row r="267" spans="2:13" s="10" customFormat="1" ht="25.2" customHeight="1" outlineLevel="1" x14ac:dyDescent="0.45">
      <c r="B267" s="63"/>
      <c r="C267" s="24"/>
      <c r="D267" s="22" t="s">
        <v>350</v>
      </c>
      <c r="E267" s="13" t="s">
        <v>623</v>
      </c>
      <c r="F267" s="13"/>
      <c r="G267" s="13"/>
      <c r="H267" s="14"/>
      <c r="I267" s="20" t="s">
        <v>33</v>
      </c>
      <c r="J267" s="15" t="str" cm="1">
        <f t="array" ref="J267">IF(B267&lt;&gt;"",MATCH(TRUE, INDEX((B268:B$9601&lt;&gt;""), 0), 0) - 1,"")</f>
        <v/>
      </c>
      <c r="K267" s="19" t="b">
        <v>1</v>
      </c>
      <c r="L267" s="17"/>
      <c r="M267" s="18"/>
    </row>
    <row r="268" spans="2:13" s="10" customFormat="1" ht="25.2" customHeight="1" outlineLevel="1" x14ac:dyDescent="0.45">
      <c r="B268" s="63"/>
      <c r="C268" s="24"/>
      <c r="D268" s="22" t="s">
        <v>351</v>
      </c>
      <c r="E268" s="13" t="s">
        <v>623</v>
      </c>
      <c r="F268" s="13"/>
      <c r="G268" s="13"/>
      <c r="H268" s="14"/>
      <c r="I268" s="20" t="s">
        <v>33</v>
      </c>
      <c r="J268" s="15" t="str" cm="1">
        <f t="array" ref="J268">IF(B268&lt;&gt;"",MATCH(TRUE, INDEX((B269:B$9601&lt;&gt;""), 0), 0) - 1,"")</f>
        <v/>
      </c>
      <c r="K268" s="19" t="b">
        <v>1</v>
      </c>
      <c r="L268" s="17"/>
      <c r="M268" s="18"/>
    </row>
    <row r="269" spans="2:13" s="10" customFormat="1" ht="25.2" customHeight="1" outlineLevel="1" x14ac:dyDescent="0.45">
      <c r="B269" s="63"/>
      <c r="C269" s="24"/>
      <c r="D269" s="22" t="s">
        <v>352</v>
      </c>
      <c r="E269" s="13" t="s">
        <v>623</v>
      </c>
      <c r="F269" s="13"/>
      <c r="G269" s="13"/>
      <c r="H269" s="14"/>
      <c r="I269" s="20" t="s">
        <v>33</v>
      </c>
      <c r="J269" s="15" t="str" cm="1">
        <f t="array" ref="J269">IF(B269&lt;&gt;"",MATCH(TRUE, INDEX((B270:B$9601&lt;&gt;""), 0), 0) - 1,"")</f>
        <v/>
      </c>
      <c r="K269" s="19" t="b">
        <v>1</v>
      </c>
      <c r="L269" s="17"/>
      <c r="M269" s="18"/>
    </row>
    <row r="270" spans="2:13" s="10" customFormat="1" ht="25.2" customHeight="1" outlineLevel="1" x14ac:dyDescent="0.45">
      <c r="B270" s="63"/>
      <c r="C270" s="24"/>
      <c r="D270" s="22" t="s">
        <v>353</v>
      </c>
      <c r="E270" s="13" t="s">
        <v>623</v>
      </c>
      <c r="F270" s="13"/>
      <c r="G270" s="13"/>
      <c r="H270" s="14"/>
      <c r="I270" s="20" t="s">
        <v>33</v>
      </c>
      <c r="J270" s="15" t="str" cm="1">
        <f t="array" ref="J270">IF(B270&lt;&gt;"",MATCH(TRUE, INDEX((B271:B$9601&lt;&gt;""), 0), 0) - 1,"")</f>
        <v/>
      </c>
      <c r="K270" s="19" t="b">
        <v>1</v>
      </c>
      <c r="L270" s="17"/>
      <c r="M270" s="18"/>
    </row>
    <row r="271" spans="2:13" s="10" customFormat="1" ht="25.2" customHeight="1" outlineLevel="1" x14ac:dyDescent="0.45">
      <c r="B271" s="63"/>
      <c r="C271" s="24"/>
      <c r="D271" s="22" t="s">
        <v>354</v>
      </c>
      <c r="E271" s="13" t="s">
        <v>623</v>
      </c>
      <c r="F271" s="13"/>
      <c r="G271" s="13"/>
      <c r="H271" s="14"/>
      <c r="I271" s="20" t="s">
        <v>33</v>
      </c>
      <c r="J271" s="15" t="str" cm="1">
        <f t="array" ref="J271">IF(B271&lt;&gt;"",MATCH(TRUE, INDEX((B272:B$9601&lt;&gt;""), 0), 0) - 1,"")</f>
        <v/>
      </c>
      <c r="K271" s="19" t="b">
        <v>0</v>
      </c>
      <c r="L271" s="17"/>
      <c r="M271" s="18"/>
    </row>
    <row r="272" spans="2:13" s="10" customFormat="1" ht="25.2" customHeight="1" x14ac:dyDescent="0.45">
      <c r="B272" s="63">
        <v>24</v>
      </c>
      <c r="C272" s="74" t="s">
        <v>467</v>
      </c>
      <c r="D272" s="22" t="s">
        <v>355</v>
      </c>
      <c r="E272" s="13" t="s">
        <v>623</v>
      </c>
      <c r="F272" s="13"/>
      <c r="G272" s="13"/>
      <c r="H272" s="14" t="str">
        <f>IF(K272=100, "FINISH", IF(K272&gt;0, "IN PROGRESS", IF(K272=0, "SCHED-OK", "")))</f>
        <v>IN PROGRESS</v>
      </c>
      <c r="I272" s="20" t="s">
        <v>80</v>
      </c>
      <c r="J272" s="15" cm="1">
        <f t="array" ref="J272">IF(B272&lt;&gt;"",MATCH(TRUE, INDEX((B273:B$9601&lt;&gt;""), 0), 0) - 1,"")</f>
        <v>21</v>
      </c>
      <c r="K272" s="16">
        <f>IF(J272&gt;0, COUNTIF(K273:INDEX(K273:K$9577, J272), TRUE)/J272*100, "")</f>
        <v>33.333333333333329</v>
      </c>
      <c r="L272" s="17" t="s">
        <v>20</v>
      </c>
      <c r="M272" s="18"/>
    </row>
    <row r="273" spans="2:13" s="10" customFormat="1" ht="25.2" customHeight="1" outlineLevel="1" x14ac:dyDescent="0.45">
      <c r="B273" s="63"/>
      <c r="C273" s="12"/>
      <c r="D273" s="77" t="s">
        <v>21</v>
      </c>
      <c r="E273" s="13" t="s">
        <v>623</v>
      </c>
      <c r="F273" s="13"/>
      <c r="G273" s="13"/>
      <c r="H273" s="14"/>
      <c r="I273" s="20" t="s">
        <v>33</v>
      </c>
      <c r="J273" s="15" t="str" cm="1">
        <f t="array" ref="J273">IF(B273&lt;&gt;"",MATCH(TRUE, INDEX((B274:B$9601&lt;&gt;""), 0), 0) - 1,"")</f>
        <v/>
      </c>
      <c r="K273" s="19" t="b">
        <v>1</v>
      </c>
      <c r="L273" s="17"/>
      <c r="M273" s="18"/>
    </row>
    <row r="274" spans="2:13" s="10" customFormat="1" ht="25.2" customHeight="1" outlineLevel="1" x14ac:dyDescent="0.45">
      <c r="B274" s="63"/>
      <c r="C274" s="12"/>
      <c r="D274" s="77" t="s">
        <v>22</v>
      </c>
      <c r="E274" s="13" t="s">
        <v>623</v>
      </c>
      <c r="F274" s="13"/>
      <c r="G274" s="13"/>
      <c r="H274" s="14"/>
      <c r="I274" s="20" t="s">
        <v>33</v>
      </c>
      <c r="J274" s="15" t="str" cm="1">
        <f t="array" ref="J274">IF(B274&lt;&gt;"",MATCH(TRUE, INDEX((B275:B$9601&lt;&gt;""), 0), 0) - 1,"")</f>
        <v/>
      </c>
      <c r="K274" s="19" t="b">
        <v>1</v>
      </c>
      <c r="L274" s="17"/>
      <c r="M274" s="18"/>
    </row>
    <row r="275" spans="2:13" s="10" customFormat="1" ht="25.2" customHeight="1" outlineLevel="1" x14ac:dyDescent="0.45">
      <c r="B275" s="63"/>
      <c r="C275" s="12"/>
      <c r="D275" s="75" t="s">
        <v>23</v>
      </c>
      <c r="E275" s="13" t="s">
        <v>623</v>
      </c>
      <c r="F275" s="13"/>
      <c r="G275" s="13"/>
      <c r="H275" s="14"/>
      <c r="I275" s="20" t="s">
        <v>33</v>
      </c>
      <c r="J275" s="15" t="str" cm="1">
        <f t="array" ref="J275">IF(B275&lt;&gt;"",MATCH(TRUE, INDEX((B276:B$9601&lt;&gt;""), 0), 0) - 1,"")</f>
        <v/>
      </c>
      <c r="K275" s="19" t="b">
        <v>1</v>
      </c>
      <c r="L275" s="17"/>
      <c r="M275" s="18"/>
    </row>
    <row r="276" spans="2:13" s="10" customFormat="1" ht="25.2" customHeight="1" outlineLevel="1" x14ac:dyDescent="0.45">
      <c r="B276" s="63"/>
      <c r="C276" s="12"/>
      <c r="D276" s="77" t="s">
        <v>24</v>
      </c>
      <c r="E276" s="13" t="s">
        <v>623</v>
      </c>
      <c r="F276" s="13"/>
      <c r="G276" s="13"/>
      <c r="H276" s="14"/>
      <c r="I276" s="20" t="s">
        <v>33</v>
      </c>
      <c r="J276" s="15" t="str" cm="1">
        <f t="array" ref="J276">IF(B276&lt;&gt;"",MATCH(TRUE, INDEX((B277:B$9601&lt;&gt;""), 0), 0) - 1,"")</f>
        <v/>
      </c>
      <c r="K276" s="19" t="b">
        <v>0</v>
      </c>
      <c r="L276" s="17"/>
      <c r="M276" s="18"/>
    </row>
    <row r="277" spans="2:13" s="10" customFormat="1" ht="25.2" customHeight="1" outlineLevel="1" x14ac:dyDescent="0.45">
      <c r="B277" s="63"/>
      <c r="C277" s="12"/>
      <c r="D277" s="77" t="s">
        <v>25</v>
      </c>
      <c r="E277" s="13" t="s">
        <v>623</v>
      </c>
      <c r="F277" s="13"/>
      <c r="G277" s="13"/>
      <c r="H277" s="14"/>
      <c r="I277" s="20" t="s">
        <v>33</v>
      </c>
      <c r="J277" s="15" t="str" cm="1">
        <f t="array" ref="J277">IF(B277&lt;&gt;"",MATCH(TRUE, INDEX((B278:B$9601&lt;&gt;""), 0), 0) - 1,"")</f>
        <v/>
      </c>
      <c r="K277" s="19" t="b">
        <v>0</v>
      </c>
      <c r="L277" s="17"/>
      <c r="M277" s="18"/>
    </row>
    <row r="278" spans="2:13" s="10" customFormat="1" ht="25.2" customHeight="1" outlineLevel="1" x14ac:dyDescent="0.45">
      <c r="B278" s="63"/>
      <c r="C278" s="12"/>
      <c r="D278" s="77" t="s">
        <v>26</v>
      </c>
      <c r="E278" s="13" t="s">
        <v>623</v>
      </c>
      <c r="F278" s="13"/>
      <c r="G278" s="13"/>
      <c r="H278" s="14"/>
      <c r="I278" s="20" t="s">
        <v>33</v>
      </c>
      <c r="J278" s="15" t="str" cm="1">
        <f t="array" ref="J278">IF(B278&lt;&gt;"",MATCH(TRUE, INDEX((B279:B$9601&lt;&gt;""), 0), 0) - 1,"")</f>
        <v/>
      </c>
      <c r="K278" s="19" t="b">
        <v>1</v>
      </c>
      <c r="L278" s="17"/>
      <c r="M278" s="18"/>
    </row>
    <row r="279" spans="2:13" s="10" customFormat="1" ht="25.2" customHeight="1" outlineLevel="1" x14ac:dyDescent="0.45">
      <c r="B279" s="63"/>
      <c r="C279" s="12"/>
      <c r="D279" s="77" t="s">
        <v>27</v>
      </c>
      <c r="E279" s="13" t="s">
        <v>623</v>
      </c>
      <c r="F279" s="13"/>
      <c r="G279" s="13"/>
      <c r="H279" s="14"/>
      <c r="I279" s="20" t="s">
        <v>33</v>
      </c>
      <c r="J279" s="15" t="str" cm="1">
        <f t="array" ref="J279">IF(B279&lt;&gt;"",MATCH(TRUE, INDEX((B280:B$9601&lt;&gt;""), 0), 0) - 1,"")</f>
        <v/>
      </c>
      <c r="K279" s="19" t="b">
        <v>1</v>
      </c>
      <c r="L279" s="17"/>
      <c r="M279" s="18"/>
    </row>
    <row r="280" spans="2:13" s="10" customFormat="1" ht="25.2" customHeight="1" outlineLevel="1" x14ac:dyDescent="0.45">
      <c r="B280" s="63"/>
      <c r="C280" s="12"/>
      <c r="D280" s="77" t="s">
        <v>28</v>
      </c>
      <c r="E280" s="13" t="s">
        <v>623</v>
      </c>
      <c r="F280" s="13"/>
      <c r="G280" s="13"/>
      <c r="H280" s="14"/>
      <c r="I280" s="20" t="s">
        <v>33</v>
      </c>
      <c r="J280" s="15" t="str" cm="1">
        <f t="array" ref="J280">IF(B280&lt;&gt;"",MATCH(TRUE, INDEX((B281:B$9601&lt;&gt;""), 0), 0) - 1,"")</f>
        <v/>
      </c>
      <c r="K280" s="19" t="b">
        <v>1</v>
      </c>
      <c r="L280" s="17"/>
      <c r="M280" s="18"/>
    </row>
    <row r="281" spans="2:13" s="10" customFormat="1" ht="25.2" customHeight="1" outlineLevel="1" x14ac:dyDescent="0.45">
      <c r="B281" s="63"/>
      <c r="C281" s="24"/>
      <c r="D281" s="22" t="s">
        <v>81</v>
      </c>
      <c r="E281" s="13" t="s">
        <v>623</v>
      </c>
      <c r="F281" s="13"/>
      <c r="G281" s="13"/>
      <c r="H281" s="14"/>
      <c r="I281" s="20" t="s">
        <v>43</v>
      </c>
      <c r="J281" s="15" t="str" cm="1">
        <f t="array" ref="J281">IF(B281&lt;&gt;"",MATCH(TRUE, INDEX((B282:B$9601&lt;&gt;""), 0), 0) - 1,"")</f>
        <v/>
      </c>
      <c r="K281" s="19" t="b">
        <v>1</v>
      </c>
      <c r="L281" s="17"/>
      <c r="M281" s="23"/>
    </row>
    <row r="282" spans="2:13" s="10" customFormat="1" ht="25.2" customHeight="1" outlineLevel="1" x14ac:dyDescent="0.45">
      <c r="B282" s="63"/>
      <c r="C282" s="24"/>
      <c r="D282" s="22" t="s">
        <v>356</v>
      </c>
      <c r="E282" s="13" t="s">
        <v>623</v>
      </c>
      <c r="F282" s="13"/>
      <c r="G282" s="13"/>
      <c r="H282" s="14"/>
      <c r="I282" s="20" t="s">
        <v>43</v>
      </c>
      <c r="J282" s="15" t="str" cm="1">
        <f t="array" ref="J282">IF(B282&lt;&gt;"",MATCH(TRUE, INDEX((B283:B$9601&lt;&gt;""), 0), 0) - 1,"")</f>
        <v/>
      </c>
      <c r="K282" s="19" t="b">
        <v>0</v>
      </c>
      <c r="L282" s="17"/>
      <c r="M282" s="23"/>
    </row>
    <row r="283" spans="2:13" s="10" customFormat="1" ht="25.2" customHeight="1" outlineLevel="1" x14ac:dyDescent="0.45">
      <c r="B283" s="63"/>
      <c r="C283" s="24"/>
      <c r="D283" s="22" t="s">
        <v>357</v>
      </c>
      <c r="E283" s="13" t="s">
        <v>623</v>
      </c>
      <c r="F283" s="13"/>
      <c r="G283" s="13"/>
      <c r="H283" s="14"/>
      <c r="I283" s="20" t="s">
        <v>43</v>
      </c>
      <c r="J283" s="15" t="str" cm="1">
        <f t="array" ref="J283">IF(B283&lt;&gt;"",MATCH(TRUE, INDEX((B284:B$9601&lt;&gt;""), 0), 0) - 1,"")</f>
        <v/>
      </c>
      <c r="K283" s="19" t="b">
        <v>0</v>
      </c>
      <c r="L283" s="17"/>
      <c r="M283" s="23"/>
    </row>
    <row r="284" spans="2:13" s="10" customFormat="1" ht="25.2" customHeight="1" outlineLevel="1" x14ac:dyDescent="0.45">
      <c r="B284" s="63"/>
      <c r="C284" s="24"/>
      <c r="D284" s="22" t="s">
        <v>358</v>
      </c>
      <c r="E284" s="13" t="s">
        <v>623</v>
      </c>
      <c r="F284" s="13"/>
      <c r="G284" s="13"/>
      <c r="H284" s="14"/>
      <c r="I284" s="20" t="s">
        <v>43</v>
      </c>
      <c r="J284" s="15" t="str" cm="1">
        <f t="array" ref="J284">IF(B284&lt;&gt;"",MATCH(TRUE, INDEX((B285:B$9601&lt;&gt;""), 0), 0) - 1,"")</f>
        <v/>
      </c>
      <c r="K284" s="19" t="b">
        <v>0</v>
      </c>
      <c r="L284" s="17"/>
      <c r="M284" s="23"/>
    </row>
    <row r="285" spans="2:13" s="10" customFormat="1" ht="25.2" customHeight="1" outlineLevel="1" x14ac:dyDescent="0.45">
      <c r="B285" s="63"/>
      <c r="C285" s="24"/>
      <c r="D285" s="22" t="s">
        <v>359</v>
      </c>
      <c r="E285" s="13" t="s">
        <v>623</v>
      </c>
      <c r="F285" s="13"/>
      <c r="G285" s="13"/>
      <c r="H285" s="14"/>
      <c r="I285" s="20" t="s">
        <v>43</v>
      </c>
      <c r="J285" s="15" t="str" cm="1">
        <f t="array" ref="J285">IF(B285&lt;&gt;"",MATCH(TRUE, INDEX((B286:B$9601&lt;&gt;""), 0), 0) - 1,"")</f>
        <v/>
      </c>
      <c r="K285" s="19" t="b">
        <v>0</v>
      </c>
      <c r="L285" s="17"/>
      <c r="M285" s="23"/>
    </row>
    <row r="286" spans="2:13" s="10" customFormat="1" ht="25.2" customHeight="1" outlineLevel="1" x14ac:dyDescent="0.45">
      <c r="B286" s="63"/>
      <c r="C286" s="12"/>
      <c r="D286" s="22" t="s">
        <v>360</v>
      </c>
      <c r="E286" s="13" t="s">
        <v>623</v>
      </c>
      <c r="F286" s="13"/>
      <c r="G286" s="13"/>
      <c r="H286" s="14"/>
      <c r="I286" s="20" t="s">
        <v>43</v>
      </c>
      <c r="J286" s="15" t="str" cm="1">
        <f t="array" ref="J286">IF(B286&lt;&gt;"",MATCH(TRUE, INDEX((B287:B$9601&lt;&gt;""), 0), 0) - 1,"")</f>
        <v/>
      </c>
      <c r="K286" s="19" t="b">
        <v>0</v>
      </c>
      <c r="L286" s="17"/>
      <c r="M286" s="18"/>
    </row>
    <row r="287" spans="2:13" s="10" customFormat="1" ht="25.2" customHeight="1" outlineLevel="1" x14ac:dyDescent="0.45">
      <c r="B287" s="63"/>
      <c r="C287" s="12"/>
      <c r="D287" s="22" t="s">
        <v>361</v>
      </c>
      <c r="E287" s="13" t="s">
        <v>623</v>
      </c>
      <c r="F287" s="13"/>
      <c r="G287" s="13"/>
      <c r="H287" s="14"/>
      <c r="I287" s="20" t="s">
        <v>43</v>
      </c>
      <c r="J287" s="15" t="str" cm="1">
        <f t="array" ref="J287">IF(B287&lt;&gt;"",MATCH(TRUE, INDEX((B288:B$9601&lt;&gt;""), 0), 0) - 1,"")</f>
        <v/>
      </c>
      <c r="K287" s="19" t="b">
        <v>0</v>
      </c>
      <c r="L287" s="17"/>
      <c r="M287" s="18"/>
    </row>
    <row r="288" spans="2:13" s="10" customFormat="1" ht="25.2" customHeight="1" outlineLevel="1" x14ac:dyDescent="0.45">
      <c r="B288" s="63"/>
      <c r="C288" s="12"/>
      <c r="D288" s="22" t="s">
        <v>362</v>
      </c>
      <c r="E288" s="13" t="s">
        <v>623</v>
      </c>
      <c r="F288" s="13"/>
      <c r="G288" s="13"/>
      <c r="H288" s="14"/>
      <c r="I288" s="20" t="s">
        <v>43</v>
      </c>
      <c r="J288" s="15" t="str" cm="1">
        <f t="array" ref="J288">IF(B288&lt;&gt;"",MATCH(TRUE, INDEX((B289:B$9601&lt;&gt;""), 0), 0) - 1,"")</f>
        <v/>
      </c>
      <c r="K288" s="19" t="b">
        <v>0</v>
      </c>
      <c r="L288" s="17"/>
      <c r="M288" s="18"/>
    </row>
    <row r="289" spans="2:13" s="10" customFormat="1" ht="25.2" customHeight="1" outlineLevel="1" x14ac:dyDescent="0.45">
      <c r="B289" s="63"/>
      <c r="C289" s="12"/>
      <c r="D289" s="22" t="s">
        <v>363</v>
      </c>
      <c r="E289" s="13" t="s">
        <v>623</v>
      </c>
      <c r="F289" s="13"/>
      <c r="G289" s="13"/>
      <c r="H289" s="14"/>
      <c r="I289" s="20" t="s">
        <v>43</v>
      </c>
      <c r="J289" s="15" t="str" cm="1">
        <f t="array" ref="J289">IF(B289&lt;&gt;"",MATCH(TRUE, INDEX((B290:B$9601&lt;&gt;""), 0), 0) - 1,"")</f>
        <v/>
      </c>
      <c r="K289" s="19" t="b">
        <v>0</v>
      </c>
      <c r="L289" s="17"/>
      <c r="M289" s="18"/>
    </row>
    <row r="290" spans="2:13" s="10" customFormat="1" ht="25.2" customHeight="1" outlineLevel="1" x14ac:dyDescent="0.45">
      <c r="B290" s="63"/>
      <c r="C290" s="12"/>
      <c r="D290" s="22" t="s">
        <v>364</v>
      </c>
      <c r="E290" s="13" t="s">
        <v>623</v>
      </c>
      <c r="F290" s="13"/>
      <c r="G290" s="13"/>
      <c r="H290" s="14"/>
      <c r="I290" s="20" t="s">
        <v>43</v>
      </c>
      <c r="J290" s="15" t="str" cm="1">
        <f t="array" ref="J290">IF(B290&lt;&gt;"",MATCH(TRUE, INDEX((B291:B$9601&lt;&gt;""), 0), 0) - 1,"")</f>
        <v/>
      </c>
      <c r="K290" s="19" t="b">
        <v>0</v>
      </c>
      <c r="L290" s="17"/>
      <c r="M290" s="18"/>
    </row>
    <row r="291" spans="2:13" s="10" customFormat="1" ht="25.2" customHeight="1" outlineLevel="1" x14ac:dyDescent="0.45">
      <c r="B291" s="63"/>
      <c r="C291" s="12"/>
      <c r="D291" s="22" t="s">
        <v>365</v>
      </c>
      <c r="E291" s="13" t="s">
        <v>623</v>
      </c>
      <c r="F291" s="13"/>
      <c r="G291" s="13"/>
      <c r="H291" s="14"/>
      <c r="I291" s="20" t="s">
        <v>43</v>
      </c>
      <c r="J291" s="15" t="str" cm="1">
        <f t="array" ref="J291">IF(B291&lt;&gt;"",MATCH(TRUE, INDEX((B292:B$9601&lt;&gt;""), 0), 0) - 1,"")</f>
        <v/>
      </c>
      <c r="K291" s="19" t="b">
        <v>0</v>
      </c>
      <c r="L291" s="17"/>
      <c r="M291" s="18"/>
    </row>
    <row r="292" spans="2:13" s="10" customFormat="1" ht="25.2" customHeight="1" outlineLevel="1" x14ac:dyDescent="0.45">
      <c r="B292" s="63"/>
      <c r="C292" s="12"/>
      <c r="D292" s="22" t="s">
        <v>366</v>
      </c>
      <c r="E292" s="13" t="s">
        <v>623</v>
      </c>
      <c r="F292" s="13"/>
      <c r="G292" s="13"/>
      <c r="H292" s="14"/>
      <c r="I292" s="20" t="s">
        <v>43</v>
      </c>
      <c r="J292" s="15" t="str" cm="1">
        <f t="array" ref="J292">IF(B292&lt;&gt;"",MATCH(TRUE, INDEX((B293:B$9601&lt;&gt;""), 0), 0) - 1,"")</f>
        <v/>
      </c>
      <c r="K292" s="19" t="b">
        <v>0</v>
      </c>
      <c r="L292" s="17"/>
      <c r="M292" s="18"/>
    </row>
    <row r="293" spans="2:13" s="10" customFormat="1" ht="25.2" customHeight="1" outlineLevel="1" x14ac:dyDescent="0.45">
      <c r="B293" s="63"/>
      <c r="C293" s="12"/>
      <c r="D293" s="22" t="s">
        <v>367</v>
      </c>
      <c r="E293" s="13" t="s">
        <v>623</v>
      </c>
      <c r="F293" s="13"/>
      <c r="G293" s="13"/>
      <c r="H293" s="14"/>
      <c r="I293" s="20" t="s">
        <v>43</v>
      </c>
      <c r="J293" s="15" t="str" cm="1">
        <f t="array" ref="J293">IF(B293&lt;&gt;"",MATCH(TRUE, INDEX((B294:B$9601&lt;&gt;""), 0), 0) - 1,"")</f>
        <v/>
      </c>
      <c r="K293" s="19" t="b">
        <v>0</v>
      </c>
      <c r="L293" s="17"/>
      <c r="M293" s="18"/>
    </row>
    <row r="294" spans="2:13" s="10" customFormat="1" ht="25.2" customHeight="1" x14ac:dyDescent="0.45">
      <c r="B294" s="63">
        <v>25</v>
      </c>
      <c r="C294" s="74" t="s">
        <v>467</v>
      </c>
      <c r="D294" s="22" t="s">
        <v>368</v>
      </c>
      <c r="E294" s="13" t="s">
        <v>623</v>
      </c>
      <c r="F294" s="13"/>
      <c r="G294" s="13"/>
      <c r="H294" s="14" t="str">
        <f>IF(K294=100, "FINISH", IF(K294&gt;0, "IN PROGRESS", IF(K294=0, "SCHED-OK", "")))</f>
        <v>IN PROGRESS</v>
      </c>
      <c r="I294" s="20" t="s">
        <v>80</v>
      </c>
      <c r="J294" s="15" cm="1">
        <f t="array" ref="J294">IF(B294&lt;&gt;"",MATCH(TRUE, INDEX((B295:B$9601&lt;&gt;""), 0), 0) - 1,"")</f>
        <v>21</v>
      </c>
      <c r="K294" s="16">
        <f>IF(J294&gt;0, COUNTIF(K295:INDEX(K295:K$9577, J294), TRUE)/J294*100, "")</f>
        <v>33.333333333333329</v>
      </c>
      <c r="L294" s="17" t="s">
        <v>20</v>
      </c>
      <c r="M294" s="18"/>
    </row>
    <row r="295" spans="2:13" s="10" customFormat="1" ht="25.2" customHeight="1" outlineLevel="1" x14ac:dyDescent="0.45">
      <c r="B295" s="63"/>
      <c r="C295" s="12"/>
      <c r="D295" s="77" t="s">
        <v>21</v>
      </c>
      <c r="E295" s="13" t="s">
        <v>623</v>
      </c>
      <c r="F295" s="13"/>
      <c r="G295" s="13"/>
      <c r="H295" s="14"/>
      <c r="I295" s="20" t="s">
        <v>33</v>
      </c>
      <c r="J295" s="15" t="str" cm="1">
        <f t="array" ref="J295">IF(B295&lt;&gt;"",MATCH(TRUE, INDEX((B296:B$9601&lt;&gt;""), 0), 0) - 1,"")</f>
        <v/>
      </c>
      <c r="K295" s="19" t="b">
        <v>1</v>
      </c>
      <c r="L295" s="17"/>
      <c r="M295" s="18"/>
    </row>
    <row r="296" spans="2:13" s="10" customFormat="1" ht="25.2" customHeight="1" outlineLevel="1" x14ac:dyDescent="0.45">
      <c r="B296" s="63"/>
      <c r="C296" s="12"/>
      <c r="D296" s="77" t="s">
        <v>22</v>
      </c>
      <c r="E296" s="13" t="s">
        <v>623</v>
      </c>
      <c r="F296" s="13"/>
      <c r="G296" s="13"/>
      <c r="H296" s="14"/>
      <c r="I296" s="20" t="s">
        <v>33</v>
      </c>
      <c r="J296" s="15" t="str" cm="1">
        <f t="array" ref="J296">IF(B296&lt;&gt;"",MATCH(TRUE, INDEX((B297:B$9601&lt;&gt;""), 0), 0) - 1,"")</f>
        <v/>
      </c>
      <c r="K296" s="19" t="b">
        <v>1</v>
      </c>
      <c r="L296" s="17"/>
      <c r="M296" s="18"/>
    </row>
    <row r="297" spans="2:13" s="10" customFormat="1" ht="25.2" customHeight="1" outlineLevel="1" x14ac:dyDescent="0.45">
      <c r="B297" s="63"/>
      <c r="C297" s="12"/>
      <c r="D297" s="75" t="s">
        <v>23</v>
      </c>
      <c r="E297" s="13" t="s">
        <v>623</v>
      </c>
      <c r="F297" s="13"/>
      <c r="G297" s="13"/>
      <c r="H297" s="14"/>
      <c r="I297" s="20" t="s">
        <v>33</v>
      </c>
      <c r="J297" s="15" t="str" cm="1">
        <f t="array" ref="J297">IF(B297&lt;&gt;"",MATCH(TRUE, INDEX((B298:B$9601&lt;&gt;""), 0), 0) - 1,"")</f>
        <v/>
      </c>
      <c r="K297" s="19" t="b">
        <v>1</v>
      </c>
      <c r="L297" s="17"/>
      <c r="M297" s="18"/>
    </row>
    <row r="298" spans="2:13" s="10" customFormat="1" ht="25.2" customHeight="1" outlineLevel="1" x14ac:dyDescent="0.45">
      <c r="B298" s="63"/>
      <c r="C298" s="12"/>
      <c r="D298" s="77" t="s">
        <v>24</v>
      </c>
      <c r="E298" s="13" t="s">
        <v>623</v>
      </c>
      <c r="F298" s="13"/>
      <c r="G298" s="13"/>
      <c r="H298" s="14"/>
      <c r="I298" s="20" t="s">
        <v>33</v>
      </c>
      <c r="J298" s="15" t="str" cm="1">
        <f t="array" ref="J298">IF(B298&lt;&gt;"",MATCH(TRUE, INDEX((B299:B$9601&lt;&gt;""), 0), 0) - 1,"")</f>
        <v/>
      </c>
      <c r="K298" s="19" t="b">
        <v>0</v>
      </c>
      <c r="L298" s="17"/>
      <c r="M298" s="18"/>
    </row>
    <row r="299" spans="2:13" s="10" customFormat="1" ht="25.2" customHeight="1" outlineLevel="1" x14ac:dyDescent="0.45">
      <c r="B299" s="63"/>
      <c r="C299" s="12"/>
      <c r="D299" s="77" t="s">
        <v>25</v>
      </c>
      <c r="E299" s="13" t="s">
        <v>623</v>
      </c>
      <c r="F299" s="13"/>
      <c r="G299" s="13"/>
      <c r="H299" s="14"/>
      <c r="I299" s="20" t="s">
        <v>33</v>
      </c>
      <c r="J299" s="15" t="str" cm="1">
        <f t="array" ref="J299">IF(B299&lt;&gt;"",MATCH(TRUE, INDEX((B300:B$9601&lt;&gt;""), 0), 0) - 1,"")</f>
        <v/>
      </c>
      <c r="K299" s="19" t="b">
        <v>0</v>
      </c>
      <c r="L299" s="17"/>
      <c r="M299" s="18"/>
    </row>
    <row r="300" spans="2:13" s="10" customFormat="1" ht="25.2" customHeight="1" outlineLevel="1" x14ac:dyDescent="0.45">
      <c r="B300" s="63"/>
      <c r="C300" s="12"/>
      <c r="D300" s="77" t="s">
        <v>26</v>
      </c>
      <c r="E300" s="13" t="s">
        <v>623</v>
      </c>
      <c r="F300" s="13"/>
      <c r="G300" s="13"/>
      <c r="H300" s="14"/>
      <c r="I300" s="20" t="s">
        <v>33</v>
      </c>
      <c r="J300" s="15" t="str" cm="1">
        <f t="array" ref="J300">IF(B300&lt;&gt;"",MATCH(TRUE, INDEX((B301:B$9601&lt;&gt;""), 0), 0) - 1,"")</f>
        <v/>
      </c>
      <c r="K300" s="19" t="b">
        <v>1</v>
      </c>
      <c r="L300" s="17"/>
      <c r="M300" s="18"/>
    </row>
    <row r="301" spans="2:13" s="10" customFormat="1" ht="25.2" customHeight="1" outlineLevel="1" x14ac:dyDescent="0.45">
      <c r="B301" s="63"/>
      <c r="C301" s="12"/>
      <c r="D301" s="77" t="s">
        <v>27</v>
      </c>
      <c r="E301" s="13" t="s">
        <v>623</v>
      </c>
      <c r="F301" s="13"/>
      <c r="G301" s="13"/>
      <c r="H301" s="14"/>
      <c r="I301" s="20" t="s">
        <v>33</v>
      </c>
      <c r="J301" s="15" t="str" cm="1">
        <f t="array" ref="J301">IF(B301&lt;&gt;"",MATCH(TRUE, INDEX((B302:B$9601&lt;&gt;""), 0), 0) - 1,"")</f>
        <v/>
      </c>
      <c r="K301" s="19" t="b">
        <v>1</v>
      </c>
      <c r="L301" s="17"/>
      <c r="M301" s="18"/>
    </row>
    <row r="302" spans="2:13" s="10" customFormat="1" ht="25.2" customHeight="1" outlineLevel="1" x14ac:dyDescent="0.45">
      <c r="B302" s="63"/>
      <c r="C302" s="12"/>
      <c r="D302" s="77" t="s">
        <v>28</v>
      </c>
      <c r="E302" s="13" t="s">
        <v>623</v>
      </c>
      <c r="F302" s="13"/>
      <c r="G302" s="13"/>
      <c r="H302" s="14"/>
      <c r="I302" s="20" t="s">
        <v>43</v>
      </c>
      <c r="J302" s="15" t="str" cm="1">
        <f t="array" ref="J302">IF(B302&lt;&gt;"",MATCH(TRUE, INDEX((B303:B$9601&lt;&gt;""), 0), 0) - 1,"")</f>
        <v/>
      </c>
      <c r="K302" s="19" t="b">
        <v>1</v>
      </c>
      <c r="L302" s="17"/>
      <c r="M302" s="18"/>
    </row>
    <row r="303" spans="2:13" s="10" customFormat="1" ht="25.2" customHeight="1" outlineLevel="1" x14ac:dyDescent="0.45">
      <c r="B303" s="63"/>
      <c r="C303" s="24"/>
      <c r="D303" s="22" t="s">
        <v>82</v>
      </c>
      <c r="E303" s="13" t="s">
        <v>623</v>
      </c>
      <c r="F303" s="13"/>
      <c r="G303" s="13"/>
      <c r="H303" s="14"/>
      <c r="I303" s="20" t="s">
        <v>43</v>
      </c>
      <c r="J303" s="15" t="str" cm="1">
        <f t="array" ref="J303">IF(B303&lt;&gt;"",MATCH(TRUE, INDEX((B304:B$9601&lt;&gt;""), 0), 0) - 1,"")</f>
        <v/>
      </c>
      <c r="K303" s="19" t="b">
        <v>1</v>
      </c>
      <c r="L303" s="17"/>
      <c r="M303" s="23"/>
    </row>
    <row r="304" spans="2:13" s="10" customFormat="1" ht="25.2" customHeight="1" outlineLevel="1" x14ac:dyDescent="0.45">
      <c r="B304" s="63"/>
      <c r="C304" s="24"/>
      <c r="D304" s="22" t="s">
        <v>369</v>
      </c>
      <c r="E304" s="13" t="s">
        <v>623</v>
      </c>
      <c r="F304" s="13"/>
      <c r="G304" s="13"/>
      <c r="H304" s="14"/>
      <c r="I304" s="20" t="s">
        <v>43</v>
      </c>
      <c r="J304" s="15" t="str" cm="1">
        <f t="array" ref="J304">IF(B304&lt;&gt;"",MATCH(TRUE, INDEX((B305:B$9601&lt;&gt;""), 0), 0) - 1,"")</f>
        <v/>
      </c>
      <c r="K304" s="19" t="b">
        <v>0</v>
      </c>
      <c r="L304" s="17"/>
      <c r="M304" s="23"/>
    </row>
    <row r="305" spans="2:13" s="10" customFormat="1" ht="25.2" customHeight="1" outlineLevel="1" x14ac:dyDescent="0.45">
      <c r="B305" s="63"/>
      <c r="C305" s="24"/>
      <c r="D305" s="22" t="s">
        <v>370</v>
      </c>
      <c r="E305" s="13" t="s">
        <v>623</v>
      </c>
      <c r="F305" s="13"/>
      <c r="G305" s="13"/>
      <c r="H305" s="14"/>
      <c r="I305" s="20" t="s">
        <v>43</v>
      </c>
      <c r="J305" s="15" t="str" cm="1">
        <f t="array" ref="J305">IF(B305&lt;&gt;"",MATCH(TRUE, INDEX((B306:B$9601&lt;&gt;""), 0), 0) - 1,"")</f>
        <v/>
      </c>
      <c r="K305" s="19" t="b">
        <v>0</v>
      </c>
      <c r="L305" s="17"/>
      <c r="M305" s="23"/>
    </row>
    <row r="306" spans="2:13" s="10" customFormat="1" ht="25.2" customHeight="1" outlineLevel="1" x14ac:dyDescent="0.45">
      <c r="B306" s="63"/>
      <c r="C306" s="24"/>
      <c r="D306" s="22" t="s">
        <v>371</v>
      </c>
      <c r="E306" s="13" t="s">
        <v>623</v>
      </c>
      <c r="F306" s="13"/>
      <c r="G306" s="13"/>
      <c r="H306" s="14"/>
      <c r="I306" s="20" t="s">
        <v>43</v>
      </c>
      <c r="J306" s="15" t="str" cm="1">
        <f t="array" ref="J306">IF(B306&lt;&gt;"",MATCH(TRUE, INDEX((B307:B$9601&lt;&gt;""), 0), 0) - 1,"")</f>
        <v/>
      </c>
      <c r="K306" s="19" t="b">
        <v>0</v>
      </c>
      <c r="L306" s="17"/>
      <c r="M306" s="23"/>
    </row>
    <row r="307" spans="2:13" s="10" customFormat="1" ht="25.2" customHeight="1" outlineLevel="1" x14ac:dyDescent="0.45">
      <c r="B307" s="63"/>
      <c r="C307" s="24"/>
      <c r="D307" s="22" t="s">
        <v>372</v>
      </c>
      <c r="E307" s="13" t="s">
        <v>623</v>
      </c>
      <c r="F307" s="13"/>
      <c r="G307" s="13"/>
      <c r="H307" s="14"/>
      <c r="I307" s="20" t="s">
        <v>43</v>
      </c>
      <c r="J307" s="15" t="str" cm="1">
        <f t="array" ref="J307">IF(B307&lt;&gt;"",MATCH(TRUE, INDEX((B308:B$9601&lt;&gt;""), 0), 0) - 1,"")</f>
        <v/>
      </c>
      <c r="K307" s="19" t="b">
        <v>0</v>
      </c>
      <c r="L307" s="17"/>
      <c r="M307" s="23"/>
    </row>
    <row r="308" spans="2:13" s="10" customFormat="1" ht="25.2" customHeight="1" outlineLevel="1" x14ac:dyDescent="0.45">
      <c r="B308" s="63"/>
      <c r="C308" s="12"/>
      <c r="D308" s="22" t="s">
        <v>373</v>
      </c>
      <c r="E308" s="13" t="s">
        <v>623</v>
      </c>
      <c r="F308" s="13"/>
      <c r="G308" s="13"/>
      <c r="H308" s="14"/>
      <c r="I308" s="20" t="s">
        <v>43</v>
      </c>
      <c r="J308" s="15" t="str" cm="1">
        <f t="array" ref="J308">IF(B308&lt;&gt;"",MATCH(TRUE, INDEX((B309:B$9601&lt;&gt;""), 0), 0) - 1,"")</f>
        <v/>
      </c>
      <c r="K308" s="19" t="b">
        <v>0</v>
      </c>
      <c r="L308" s="17"/>
      <c r="M308" s="18"/>
    </row>
    <row r="309" spans="2:13" s="10" customFormat="1" ht="25.2" customHeight="1" outlineLevel="1" x14ac:dyDescent="0.45">
      <c r="B309" s="63"/>
      <c r="C309" s="12"/>
      <c r="D309" s="22" t="s">
        <v>374</v>
      </c>
      <c r="E309" s="13" t="s">
        <v>623</v>
      </c>
      <c r="F309" s="13"/>
      <c r="G309" s="13"/>
      <c r="H309" s="14"/>
      <c r="I309" s="20" t="s">
        <v>43</v>
      </c>
      <c r="J309" s="15" t="str" cm="1">
        <f t="array" ref="J309">IF(B309&lt;&gt;"",MATCH(TRUE, INDEX((B310:B$9601&lt;&gt;""), 0), 0) - 1,"")</f>
        <v/>
      </c>
      <c r="K309" s="19" t="b">
        <v>0</v>
      </c>
      <c r="L309" s="17"/>
      <c r="M309" s="18"/>
    </row>
    <row r="310" spans="2:13" s="10" customFormat="1" ht="25.2" customHeight="1" outlineLevel="1" x14ac:dyDescent="0.45">
      <c r="B310" s="63"/>
      <c r="C310" s="12"/>
      <c r="D310" s="22" t="s">
        <v>375</v>
      </c>
      <c r="E310" s="13" t="s">
        <v>623</v>
      </c>
      <c r="F310" s="13"/>
      <c r="G310" s="13"/>
      <c r="H310" s="14"/>
      <c r="I310" s="20" t="s">
        <v>43</v>
      </c>
      <c r="J310" s="15" t="str" cm="1">
        <f t="array" ref="J310">IF(B310&lt;&gt;"",MATCH(TRUE, INDEX((B311:B$9601&lt;&gt;""), 0), 0) - 1,"")</f>
        <v/>
      </c>
      <c r="K310" s="19" t="b">
        <v>0</v>
      </c>
      <c r="L310" s="17"/>
      <c r="M310" s="18"/>
    </row>
    <row r="311" spans="2:13" s="10" customFormat="1" ht="25.2" customHeight="1" outlineLevel="1" x14ac:dyDescent="0.45">
      <c r="B311" s="63"/>
      <c r="C311" s="12"/>
      <c r="D311" s="22" t="s">
        <v>376</v>
      </c>
      <c r="E311" s="13" t="s">
        <v>623</v>
      </c>
      <c r="F311" s="13"/>
      <c r="G311" s="13"/>
      <c r="H311" s="14"/>
      <c r="I311" s="20" t="s">
        <v>43</v>
      </c>
      <c r="J311" s="15" t="str" cm="1">
        <f t="array" ref="J311">IF(B311&lt;&gt;"",MATCH(TRUE, INDEX((B312:B$9601&lt;&gt;""), 0), 0) - 1,"")</f>
        <v/>
      </c>
      <c r="K311" s="19" t="b">
        <v>0</v>
      </c>
      <c r="L311" s="17"/>
      <c r="M311" s="18"/>
    </row>
    <row r="312" spans="2:13" s="10" customFormat="1" ht="25.2" customHeight="1" outlineLevel="1" x14ac:dyDescent="0.45">
      <c r="B312" s="63"/>
      <c r="C312" s="12"/>
      <c r="D312" s="22" t="s">
        <v>377</v>
      </c>
      <c r="E312" s="13" t="s">
        <v>623</v>
      </c>
      <c r="F312" s="13"/>
      <c r="G312" s="13"/>
      <c r="H312" s="14"/>
      <c r="I312" s="20" t="s">
        <v>43</v>
      </c>
      <c r="J312" s="15" t="str" cm="1">
        <f t="array" ref="J312">IF(B312&lt;&gt;"",MATCH(TRUE, INDEX((B313:B$9601&lt;&gt;""), 0), 0) - 1,"")</f>
        <v/>
      </c>
      <c r="K312" s="19" t="b">
        <v>0</v>
      </c>
      <c r="L312" s="17"/>
      <c r="M312" s="18"/>
    </row>
    <row r="313" spans="2:13" s="10" customFormat="1" ht="25.2" customHeight="1" outlineLevel="1" x14ac:dyDescent="0.45">
      <c r="B313" s="63"/>
      <c r="C313" s="12"/>
      <c r="D313" s="22" t="s">
        <v>378</v>
      </c>
      <c r="E313" s="13" t="s">
        <v>623</v>
      </c>
      <c r="F313" s="13"/>
      <c r="G313" s="13"/>
      <c r="H313" s="14"/>
      <c r="I313" s="20" t="s">
        <v>43</v>
      </c>
      <c r="J313" s="15" t="str" cm="1">
        <f t="array" ref="J313">IF(B313&lt;&gt;"",MATCH(TRUE, INDEX((B314:B$9601&lt;&gt;""), 0), 0) - 1,"")</f>
        <v/>
      </c>
      <c r="K313" s="19" t="b">
        <v>0</v>
      </c>
      <c r="L313" s="17"/>
      <c r="M313" s="18"/>
    </row>
    <row r="314" spans="2:13" s="10" customFormat="1" ht="25.2" customHeight="1" outlineLevel="1" x14ac:dyDescent="0.45">
      <c r="B314" s="63"/>
      <c r="C314" s="12"/>
      <c r="D314" s="22" t="s">
        <v>379</v>
      </c>
      <c r="E314" s="13" t="s">
        <v>623</v>
      </c>
      <c r="F314" s="13"/>
      <c r="G314" s="13"/>
      <c r="H314" s="14"/>
      <c r="I314" s="20" t="s">
        <v>43</v>
      </c>
      <c r="J314" s="15" t="str" cm="1">
        <f t="array" ref="J314">IF(B314&lt;&gt;"",MATCH(TRUE, INDEX((B315:B$9601&lt;&gt;""), 0), 0) - 1,"")</f>
        <v/>
      </c>
      <c r="K314" s="19" t="b">
        <v>0</v>
      </c>
      <c r="L314" s="17"/>
      <c r="M314" s="18"/>
    </row>
    <row r="315" spans="2:13" s="10" customFormat="1" ht="25.2" customHeight="1" outlineLevel="1" x14ac:dyDescent="0.45">
      <c r="B315" s="63"/>
      <c r="C315" s="12"/>
      <c r="D315" s="22" t="s">
        <v>380</v>
      </c>
      <c r="E315" s="13" t="s">
        <v>623</v>
      </c>
      <c r="F315" s="13"/>
      <c r="G315" s="13"/>
      <c r="H315" s="14"/>
      <c r="I315" s="20" t="s">
        <v>43</v>
      </c>
      <c r="J315" s="15" t="str" cm="1">
        <f t="array" ref="J315">IF(B315&lt;&gt;"",MATCH(TRUE, INDEX((B316:B$9601&lt;&gt;""), 0), 0) - 1,"")</f>
        <v/>
      </c>
      <c r="K315" s="19" t="b">
        <v>0</v>
      </c>
      <c r="L315" s="17"/>
      <c r="M315" s="18"/>
    </row>
    <row r="316" spans="2:13" s="10" customFormat="1" ht="25.2" customHeight="1" x14ac:dyDescent="0.45">
      <c r="B316" s="63">
        <v>26</v>
      </c>
      <c r="C316" s="74" t="s">
        <v>467</v>
      </c>
      <c r="D316" s="22" t="s">
        <v>381</v>
      </c>
      <c r="E316" s="13" t="s">
        <v>623</v>
      </c>
      <c r="F316" s="13"/>
      <c r="G316" s="13"/>
      <c r="H316" s="14" t="str">
        <f>IF(K316=100, "FINISH", IF(K316&gt;0, "IN PROGRESS", IF(K316=0, "SCHED-OK", "")))</f>
        <v>IN PROGRESS</v>
      </c>
      <c r="I316" s="20" t="s">
        <v>31</v>
      </c>
      <c r="J316" s="15" cm="1">
        <f t="array" ref="J316">IF(B316&lt;&gt;"",MATCH(TRUE, INDEX((B317:B$9601&lt;&gt;""), 0), 0) - 1,"")</f>
        <v>10</v>
      </c>
      <c r="K316" s="16">
        <f>IF(J316&gt;0, COUNTIF(K317:INDEX(K317:K$9577, J316), TRUE)/J316*100, "")</f>
        <v>30</v>
      </c>
      <c r="L316" s="17" t="s">
        <v>20</v>
      </c>
      <c r="M316" s="23"/>
    </row>
    <row r="317" spans="2:13" s="10" customFormat="1" ht="25.2" customHeight="1" outlineLevel="1" x14ac:dyDescent="0.45">
      <c r="B317" s="63"/>
      <c r="C317" s="24"/>
      <c r="D317" s="22" t="s">
        <v>510</v>
      </c>
      <c r="E317" s="13" t="s">
        <v>623</v>
      </c>
      <c r="F317" s="13"/>
      <c r="G317" s="13"/>
      <c r="H317" s="14"/>
      <c r="I317" s="20" t="s">
        <v>32</v>
      </c>
      <c r="J317" s="15" t="str" cm="1">
        <f t="array" ref="J317">IF(B317&lt;&gt;"",MATCH(TRUE, INDEX((B318:B$9601&lt;&gt;""), 0), 0) - 1,"")</f>
        <v/>
      </c>
      <c r="K317" s="19" t="b">
        <v>0</v>
      </c>
      <c r="L317" s="17"/>
      <c r="M317" s="23"/>
    </row>
    <row r="318" spans="2:13" s="10" customFormat="1" ht="25.2" customHeight="1" outlineLevel="1" x14ac:dyDescent="0.45">
      <c r="B318" s="63"/>
      <c r="C318" s="24"/>
      <c r="D318" s="22" t="s">
        <v>382</v>
      </c>
      <c r="E318" s="13" t="s">
        <v>623</v>
      </c>
      <c r="F318" s="13"/>
      <c r="G318" s="13"/>
      <c r="H318" s="14"/>
      <c r="I318" s="20" t="s">
        <v>32</v>
      </c>
      <c r="J318" s="15" t="str" cm="1">
        <f t="array" ref="J318">IF(B318&lt;&gt;"",MATCH(TRUE, INDEX((B319:B$9601&lt;&gt;""), 0), 0) - 1,"")</f>
        <v/>
      </c>
      <c r="K318" s="19" t="b">
        <v>1</v>
      </c>
      <c r="L318" s="17"/>
      <c r="M318" s="23"/>
    </row>
    <row r="319" spans="2:13" s="10" customFormat="1" ht="25.2" customHeight="1" outlineLevel="1" x14ac:dyDescent="0.45">
      <c r="B319" s="63"/>
      <c r="C319" s="24"/>
      <c r="D319" s="22" t="s">
        <v>511</v>
      </c>
      <c r="E319" s="13" t="s">
        <v>623</v>
      </c>
      <c r="F319" s="13"/>
      <c r="G319" s="13"/>
      <c r="H319" s="14"/>
      <c r="I319" s="20" t="s">
        <v>32</v>
      </c>
      <c r="J319" s="15" t="str" cm="1">
        <f t="array" ref="J319">IF(B319&lt;&gt;"",MATCH(TRUE, INDEX((B320:B$9601&lt;&gt;""), 0), 0) - 1,"")</f>
        <v/>
      </c>
      <c r="K319" s="19" t="b">
        <v>1</v>
      </c>
      <c r="L319" s="17"/>
      <c r="M319" s="23"/>
    </row>
    <row r="320" spans="2:13" s="10" customFormat="1" ht="25.2" customHeight="1" outlineLevel="1" x14ac:dyDescent="0.45">
      <c r="B320" s="63"/>
      <c r="C320" s="24"/>
      <c r="D320" s="22" t="s">
        <v>382</v>
      </c>
      <c r="E320" s="13" t="s">
        <v>623</v>
      </c>
      <c r="F320" s="13"/>
      <c r="G320" s="13"/>
      <c r="H320" s="14"/>
      <c r="I320" s="20" t="s">
        <v>32</v>
      </c>
      <c r="J320" s="15" t="str" cm="1">
        <f t="array" ref="J320">IF(B320&lt;&gt;"",MATCH(TRUE, INDEX((B321:B$9601&lt;&gt;""), 0), 0) - 1,"")</f>
        <v/>
      </c>
      <c r="K320" s="19" t="b">
        <v>1</v>
      </c>
      <c r="L320" s="17"/>
      <c r="M320" s="23"/>
    </row>
    <row r="321" spans="2:13" s="10" customFormat="1" ht="25.2" customHeight="1" outlineLevel="1" x14ac:dyDescent="0.45">
      <c r="B321" s="63"/>
      <c r="C321" s="24"/>
      <c r="D321" s="22" t="s">
        <v>512</v>
      </c>
      <c r="E321" s="13" t="s">
        <v>623</v>
      </c>
      <c r="F321" s="13"/>
      <c r="G321" s="13"/>
      <c r="H321" s="14"/>
      <c r="I321" s="20" t="s">
        <v>32</v>
      </c>
      <c r="J321" s="15" t="str" cm="1">
        <f t="array" ref="J321">IF(B321&lt;&gt;"",MATCH(TRUE, INDEX((B322:B$9601&lt;&gt;""), 0), 0) - 1,"")</f>
        <v/>
      </c>
      <c r="K321" s="19" t="b">
        <v>0</v>
      </c>
      <c r="L321" s="17"/>
      <c r="M321" s="23"/>
    </row>
    <row r="322" spans="2:13" s="10" customFormat="1" ht="25.2" customHeight="1" outlineLevel="1" x14ac:dyDescent="0.45">
      <c r="B322" s="63"/>
      <c r="C322" s="24"/>
      <c r="D322" s="22" t="s">
        <v>513</v>
      </c>
      <c r="E322" s="13" t="s">
        <v>623</v>
      </c>
      <c r="F322" s="13"/>
      <c r="G322" s="13"/>
      <c r="H322" s="14"/>
      <c r="I322" s="20" t="s">
        <v>32</v>
      </c>
      <c r="J322" s="15" t="str" cm="1">
        <f t="array" ref="J322">IF(B322&lt;&gt;"",MATCH(TRUE, INDEX((B323:B$9601&lt;&gt;""), 0), 0) - 1,"")</f>
        <v/>
      </c>
      <c r="K322" s="19" t="b">
        <v>0</v>
      </c>
      <c r="L322" s="17"/>
      <c r="M322" s="23"/>
    </row>
    <row r="323" spans="2:13" s="10" customFormat="1" ht="25.2" customHeight="1" outlineLevel="1" x14ac:dyDescent="0.45">
      <c r="B323" s="63"/>
      <c r="C323" s="24"/>
      <c r="D323" s="22" t="s">
        <v>514</v>
      </c>
      <c r="E323" s="13" t="s">
        <v>623</v>
      </c>
      <c r="F323" s="13"/>
      <c r="G323" s="13"/>
      <c r="H323" s="27"/>
      <c r="I323" s="20" t="s">
        <v>33</v>
      </c>
      <c r="J323" s="15" t="str" cm="1">
        <f t="array" ref="J323">IF(B323&lt;&gt;"",MATCH(TRUE, INDEX((B324:B$9601&lt;&gt;""), 0), 0) - 1,"")</f>
        <v/>
      </c>
      <c r="K323" s="19" t="b">
        <v>0</v>
      </c>
      <c r="L323" s="17"/>
      <c r="M323" s="23"/>
    </row>
    <row r="324" spans="2:13" s="10" customFormat="1" ht="25.2" customHeight="1" outlineLevel="1" x14ac:dyDescent="0.45">
      <c r="B324" s="63"/>
      <c r="C324" s="24"/>
      <c r="D324" s="22" t="s">
        <v>515</v>
      </c>
      <c r="E324" s="13" t="s">
        <v>623</v>
      </c>
      <c r="F324" s="13"/>
      <c r="G324" s="13"/>
      <c r="H324" s="27"/>
      <c r="I324" s="69" t="s">
        <v>33</v>
      </c>
      <c r="J324" s="15" t="str" cm="1">
        <f t="array" ref="J324">IF(B324&lt;&gt;"",MATCH(TRUE, INDEX((B325:B$9601&lt;&gt;""), 0), 0) - 1,"")</f>
        <v/>
      </c>
      <c r="K324" s="19" t="b">
        <v>0</v>
      </c>
      <c r="L324" s="17"/>
      <c r="M324" s="23"/>
    </row>
    <row r="325" spans="2:13" s="10" customFormat="1" ht="25.2" customHeight="1" outlineLevel="1" x14ac:dyDescent="0.45">
      <c r="B325" s="63"/>
      <c r="C325" s="24"/>
      <c r="D325" s="22" t="s">
        <v>516</v>
      </c>
      <c r="E325" s="13" t="s">
        <v>623</v>
      </c>
      <c r="F325" s="13"/>
      <c r="G325" s="13"/>
      <c r="H325" s="27"/>
      <c r="I325" s="70" t="s">
        <v>33</v>
      </c>
      <c r="J325" s="15" t="str" cm="1">
        <f t="array" ref="J325">IF(B325&lt;&gt;"",MATCH(TRUE, INDEX((B326:B$9601&lt;&gt;""), 0), 0) - 1,"")</f>
        <v/>
      </c>
      <c r="K325" s="19" t="b">
        <v>0</v>
      </c>
      <c r="L325" s="17"/>
      <c r="M325" s="23"/>
    </row>
    <row r="326" spans="2:13" s="10" customFormat="1" ht="25.2" customHeight="1" outlineLevel="1" x14ac:dyDescent="0.45">
      <c r="B326" s="63"/>
      <c r="C326" s="24"/>
      <c r="D326" s="22" t="s">
        <v>517</v>
      </c>
      <c r="E326" s="13" t="s">
        <v>623</v>
      </c>
      <c r="F326" s="13"/>
      <c r="G326" s="13"/>
      <c r="H326" s="14"/>
      <c r="I326" s="71" t="s">
        <v>33</v>
      </c>
      <c r="J326" s="15" t="str" cm="1">
        <f t="array" ref="J326">IF(B326&lt;&gt;"",MATCH(TRUE, INDEX((B327:B$9601&lt;&gt;""), 0), 0) - 1,"")</f>
        <v/>
      </c>
      <c r="K326" s="19" t="b">
        <v>0</v>
      </c>
      <c r="L326" s="17"/>
      <c r="M326" s="23"/>
    </row>
    <row r="327" spans="2:13" s="10" customFormat="1" ht="25.2" customHeight="1" x14ac:dyDescent="0.45">
      <c r="B327" s="63">
        <v>27</v>
      </c>
      <c r="C327" s="74" t="s">
        <v>467</v>
      </c>
      <c r="D327" s="22" t="s">
        <v>383</v>
      </c>
      <c r="E327" s="13" t="s">
        <v>623</v>
      </c>
      <c r="F327" s="13"/>
      <c r="G327" s="13"/>
      <c r="H327" s="14" t="str">
        <f>IF(K327=100, "FINISH", IF(K327&gt;0, "IN PROGRESS", IF(K327=0, "SCHED-OK", "")))</f>
        <v>IN PROGRESS</v>
      </c>
      <c r="I327" s="20" t="s">
        <v>31</v>
      </c>
      <c r="J327" s="15" cm="1">
        <f t="array" ref="J327">IF(B327&lt;&gt;"",MATCH(TRUE, INDEX((B328:B$9601&lt;&gt;""), 0), 0) - 1,"")</f>
        <v>3</v>
      </c>
      <c r="K327" s="16">
        <f>IF(J327&gt;0, COUNTIF(K328:INDEX(K328:K$9577, J327), TRUE)/J327*100, "")</f>
        <v>66.666666666666657</v>
      </c>
      <c r="L327" s="17" t="s">
        <v>20</v>
      </c>
      <c r="M327" s="18"/>
    </row>
    <row r="328" spans="2:13" s="10" customFormat="1" ht="25.2" customHeight="1" outlineLevel="1" x14ac:dyDescent="0.45">
      <c r="B328" s="63"/>
      <c r="C328" s="24"/>
      <c r="D328" s="22" t="s">
        <v>518</v>
      </c>
      <c r="E328" s="13" t="s">
        <v>623</v>
      </c>
      <c r="F328" s="13"/>
      <c r="G328" s="13"/>
      <c r="H328" s="14"/>
      <c r="I328" s="20"/>
      <c r="J328" s="15" t="str" cm="1">
        <f t="array" ref="J328">IF(B328&lt;&gt;"",MATCH(TRUE, INDEX((B329:B$9601&lt;&gt;""), 0), 0) - 1,"")</f>
        <v/>
      </c>
      <c r="K328" s="19" t="b">
        <v>1</v>
      </c>
      <c r="L328" s="17"/>
      <c r="M328" s="23"/>
    </row>
    <row r="329" spans="2:13" s="10" customFormat="1" ht="25.2" customHeight="1" outlineLevel="1" x14ac:dyDescent="0.45">
      <c r="B329" s="63"/>
      <c r="C329" s="24"/>
      <c r="D329" s="22" t="s">
        <v>83</v>
      </c>
      <c r="E329" s="13" t="s">
        <v>623</v>
      </c>
      <c r="F329" s="13"/>
      <c r="G329" s="13"/>
      <c r="H329" s="14"/>
      <c r="I329" s="20"/>
      <c r="J329" s="15" t="str" cm="1">
        <f t="array" ref="J329">IF(B329&lt;&gt;"",MATCH(TRUE, INDEX((B330:B$9601&lt;&gt;""), 0), 0) - 1,"")</f>
        <v/>
      </c>
      <c r="K329" s="19" t="b">
        <v>0</v>
      </c>
      <c r="L329" s="17"/>
      <c r="M329" s="23"/>
    </row>
    <row r="330" spans="2:13" s="10" customFormat="1" ht="25.2" customHeight="1" outlineLevel="1" x14ac:dyDescent="0.45">
      <c r="B330" s="63"/>
      <c r="C330" s="24"/>
      <c r="D330" s="22" t="s">
        <v>519</v>
      </c>
      <c r="E330" s="13" t="s">
        <v>623</v>
      </c>
      <c r="F330" s="13"/>
      <c r="G330" s="13"/>
      <c r="H330" s="14"/>
      <c r="I330" s="20"/>
      <c r="J330" s="15" t="str" cm="1">
        <f t="array" ref="J330">IF(B330&lt;&gt;"",MATCH(TRUE, INDEX((B331:B$9601&lt;&gt;""), 0), 0) - 1,"")</f>
        <v/>
      </c>
      <c r="K330" s="19" t="b">
        <v>1</v>
      </c>
      <c r="L330" s="17"/>
      <c r="M330" s="23"/>
    </row>
    <row r="331" spans="2:13" s="10" customFormat="1" ht="25.2" customHeight="1" x14ac:dyDescent="0.45">
      <c r="B331" s="63">
        <v>28</v>
      </c>
      <c r="C331" s="74" t="s">
        <v>467</v>
      </c>
      <c r="D331" s="22" t="s">
        <v>384</v>
      </c>
      <c r="E331" s="13" t="s">
        <v>623</v>
      </c>
      <c r="F331" s="13"/>
      <c r="G331" s="13"/>
      <c r="H331" s="14" t="str">
        <f>IF(K331=100, "FINISH", IF(K331&gt;0, "IN PROGRESS", IF(K331=0, "SCHED-OK", "")))</f>
        <v>IN PROGRESS</v>
      </c>
      <c r="I331" s="20" t="s">
        <v>31</v>
      </c>
      <c r="J331" s="15" cm="1">
        <f t="array" ref="J331">IF(B331&lt;&gt;"",MATCH(TRUE, INDEX((B332:B$9601&lt;&gt;""), 0), 0) - 1,"")</f>
        <v>4</v>
      </c>
      <c r="K331" s="16">
        <f>IF(J331&gt;0, COUNTIF(K332:INDEX(K332:K$9577, J331), TRUE)/J331*100, "")</f>
        <v>50</v>
      </c>
      <c r="L331" s="17" t="s">
        <v>20</v>
      </c>
      <c r="M331" s="18"/>
    </row>
    <row r="332" spans="2:13" s="10" customFormat="1" ht="25.2" customHeight="1" outlineLevel="1" x14ac:dyDescent="0.45">
      <c r="B332" s="63"/>
      <c r="C332" s="24"/>
      <c r="D332" s="22" t="s">
        <v>520</v>
      </c>
      <c r="E332" s="13" t="s">
        <v>623</v>
      </c>
      <c r="F332" s="13"/>
      <c r="G332" s="13"/>
      <c r="H332" s="14"/>
      <c r="I332" s="20" t="s">
        <v>33</v>
      </c>
      <c r="J332" s="15" t="str" cm="1">
        <f t="array" ref="J332">IF(B332&lt;&gt;"",MATCH(TRUE, INDEX((B333:B$9601&lt;&gt;""), 0), 0) - 1,"")</f>
        <v/>
      </c>
      <c r="K332" s="19" t="b">
        <v>1</v>
      </c>
      <c r="L332" s="17"/>
      <c r="M332" s="23"/>
    </row>
    <row r="333" spans="2:13" s="10" customFormat="1" ht="25.2" customHeight="1" outlineLevel="1" x14ac:dyDescent="0.45">
      <c r="B333" s="63"/>
      <c r="C333" s="24"/>
      <c r="D333" s="22" t="s">
        <v>521</v>
      </c>
      <c r="E333" s="13" t="s">
        <v>623</v>
      </c>
      <c r="F333" s="13"/>
      <c r="G333" s="13"/>
      <c r="H333" s="14"/>
      <c r="I333" s="20" t="s">
        <v>32</v>
      </c>
      <c r="J333" s="15" t="str" cm="1">
        <f t="array" ref="J333">IF(B333&lt;&gt;"",MATCH(TRUE, INDEX((B334:B$9601&lt;&gt;""), 0), 0) - 1,"")</f>
        <v/>
      </c>
      <c r="K333" s="19" t="b">
        <v>0</v>
      </c>
      <c r="L333" s="17"/>
      <c r="M333" s="23"/>
    </row>
    <row r="334" spans="2:13" s="10" customFormat="1" ht="25.2" customHeight="1" outlineLevel="1" x14ac:dyDescent="0.45">
      <c r="B334" s="63"/>
      <c r="C334" s="24"/>
      <c r="D334" s="22" t="s">
        <v>522</v>
      </c>
      <c r="E334" s="13" t="s">
        <v>623</v>
      </c>
      <c r="F334" s="13"/>
      <c r="G334" s="13"/>
      <c r="H334" s="14"/>
      <c r="I334" s="20" t="s">
        <v>43</v>
      </c>
      <c r="J334" s="15" t="str" cm="1">
        <f t="array" ref="J334">IF(B334&lt;&gt;"",MATCH(TRUE, INDEX((B335:B$9601&lt;&gt;""), 0), 0) - 1,"")</f>
        <v/>
      </c>
      <c r="K334" s="19" t="b">
        <v>0</v>
      </c>
      <c r="L334" s="17"/>
      <c r="M334" s="23"/>
    </row>
    <row r="335" spans="2:13" s="10" customFormat="1" ht="25.2" customHeight="1" outlineLevel="1" x14ac:dyDescent="0.45">
      <c r="B335" s="63"/>
      <c r="C335" s="24"/>
      <c r="D335" s="22" t="s">
        <v>83</v>
      </c>
      <c r="E335" s="13" t="s">
        <v>623</v>
      </c>
      <c r="F335" s="13"/>
      <c r="G335" s="13"/>
      <c r="H335" s="14"/>
      <c r="I335" s="20" t="s">
        <v>32</v>
      </c>
      <c r="J335" s="15" t="str" cm="1">
        <f t="array" ref="J335">IF(B335&lt;&gt;"",MATCH(TRUE, INDEX((B336:B$9601&lt;&gt;""), 0), 0) - 1,"")</f>
        <v/>
      </c>
      <c r="K335" s="19" t="b">
        <v>1</v>
      </c>
      <c r="L335" s="17"/>
      <c r="M335" s="23"/>
    </row>
    <row r="336" spans="2:13" s="10" customFormat="1" ht="25.2" customHeight="1" x14ac:dyDescent="0.45">
      <c r="B336" s="63">
        <v>29</v>
      </c>
      <c r="C336" s="74" t="s">
        <v>467</v>
      </c>
      <c r="D336" s="22" t="s">
        <v>385</v>
      </c>
      <c r="E336" s="13" t="s">
        <v>623</v>
      </c>
      <c r="F336" s="13"/>
      <c r="G336" s="13"/>
      <c r="H336" s="14" t="str">
        <f>IF(K336=100, "FINISH", IF(K336&gt;0, "IN PROGRESS", IF(K336=0, "SCHED-OK", "")))</f>
        <v>IN PROGRESS</v>
      </c>
      <c r="I336" s="20" t="s">
        <v>40</v>
      </c>
      <c r="J336" s="15" cm="1">
        <f t="array" ref="J336">IF(B336&lt;&gt;"",MATCH(TRUE, INDEX((B337:B$9601&lt;&gt;""), 0), 0) - 1,"")</f>
        <v>30</v>
      </c>
      <c r="K336" s="16">
        <f>IF(J336&gt;0, COUNTIF(K337:INDEX(K337:K$9577, J336), TRUE)/J336*100, "")</f>
        <v>10</v>
      </c>
      <c r="L336" s="17" t="s">
        <v>20</v>
      </c>
      <c r="M336" s="18"/>
    </row>
    <row r="337" spans="2:13" s="10" customFormat="1" ht="25.2" customHeight="1" outlineLevel="1" x14ac:dyDescent="0.45">
      <c r="B337" s="63"/>
      <c r="C337" s="24"/>
      <c r="D337" s="22" t="s">
        <v>84</v>
      </c>
      <c r="E337" s="13" t="s">
        <v>623</v>
      </c>
      <c r="F337" s="13"/>
      <c r="G337" s="13"/>
      <c r="H337" s="14"/>
      <c r="I337" s="20"/>
      <c r="J337" s="15" t="str" cm="1">
        <f t="array" ref="J337">IF(B337&lt;&gt;"",MATCH(TRUE, INDEX((B338:B$9601&lt;&gt;""), 0), 0) - 1,"")</f>
        <v/>
      </c>
      <c r="K337" s="19" t="b">
        <v>1</v>
      </c>
      <c r="L337" s="17"/>
      <c r="M337" s="23"/>
    </row>
    <row r="338" spans="2:13" s="10" customFormat="1" ht="25.2" customHeight="1" outlineLevel="1" x14ac:dyDescent="0.45">
      <c r="B338" s="63"/>
      <c r="C338" s="24"/>
      <c r="D338" s="22" t="s">
        <v>85</v>
      </c>
      <c r="E338" s="13" t="s">
        <v>623</v>
      </c>
      <c r="F338" s="13"/>
      <c r="G338" s="13"/>
      <c r="H338" s="14"/>
      <c r="I338" s="20"/>
      <c r="J338" s="15" t="str" cm="1">
        <f t="array" ref="J338">IF(B338&lt;&gt;"",MATCH(TRUE, INDEX((B339:B$9601&lt;&gt;""), 0), 0) - 1,"")</f>
        <v/>
      </c>
      <c r="K338" s="19" t="b">
        <v>1</v>
      </c>
      <c r="L338" s="17"/>
      <c r="M338" s="23"/>
    </row>
    <row r="339" spans="2:13" s="10" customFormat="1" ht="25.2" customHeight="1" outlineLevel="1" x14ac:dyDescent="0.45">
      <c r="B339" s="63"/>
      <c r="C339" s="24"/>
      <c r="D339" s="22" t="s">
        <v>86</v>
      </c>
      <c r="E339" s="13" t="s">
        <v>623</v>
      </c>
      <c r="F339" s="13"/>
      <c r="G339" s="13"/>
      <c r="H339" s="14"/>
      <c r="I339" s="20"/>
      <c r="J339" s="15" t="str" cm="1">
        <f t="array" ref="J339">IF(B339&lt;&gt;"",MATCH(TRUE, INDEX((B340:B$9601&lt;&gt;""), 0), 0) - 1,"")</f>
        <v/>
      </c>
      <c r="K339" s="19" t="b">
        <v>1</v>
      </c>
      <c r="L339" s="17"/>
      <c r="M339" s="23"/>
    </row>
    <row r="340" spans="2:13" s="10" customFormat="1" ht="25.2" customHeight="1" outlineLevel="1" x14ac:dyDescent="0.45">
      <c r="B340" s="63"/>
      <c r="C340" s="24"/>
      <c r="D340" s="77" t="s">
        <v>87</v>
      </c>
      <c r="E340" s="13" t="s">
        <v>623</v>
      </c>
      <c r="F340" s="13"/>
      <c r="G340" s="13"/>
      <c r="H340" s="14"/>
      <c r="I340" s="20"/>
      <c r="J340" s="15" t="str" cm="1">
        <f t="array" ref="J340">IF(B340&lt;&gt;"",MATCH(TRUE, INDEX((B341:B$9601&lt;&gt;""), 0), 0) - 1,"")</f>
        <v/>
      </c>
      <c r="K340" s="19" t="b">
        <v>0</v>
      </c>
      <c r="L340" s="17"/>
      <c r="M340" s="23"/>
    </row>
    <row r="341" spans="2:13" s="10" customFormat="1" ht="25.2" customHeight="1" outlineLevel="1" x14ac:dyDescent="0.45">
      <c r="B341" s="63"/>
      <c r="C341" s="24"/>
      <c r="D341" s="77" t="s">
        <v>88</v>
      </c>
      <c r="E341" s="13" t="s">
        <v>623</v>
      </c>
      <c r="F341" s="13"/>
      <c r="G341" s="13"/>
      <c r="H341" s="14"/>
      <c r="I341" s="20"/>
      <c r="J341" s="15" t="str" cm="1">
        <f t="array" ref="J341">IF(B341&lt;&gt;"",MATCH(TRUE, INDEX((B342:B$9601&lt;&gt;""), 0), 0) - 1,"")</f>
        <v/>
      </c>
      <c r="K341" s="19" t="b">
        <v>0</v>
      </c>
      <c r="L341" s="17"/>
      <c r="M341" s="23"/>
    </row>
    <row r="342" spans="2:13" s="10" customFormat="1" ht="25.2" customHeight="1" outlineLevel="1" x14ac:dyDescent="0.45">
      <c r="B342" s="63"/>
      <c r="C342" s="24"/>
      <c r="D342" s="77" t="s">
        <v>89</v>
      </c>
      <c r="E342" s="13" t="s">
        <v>623</v>
      </c>
      <c r="F342" s="13"/>
      <c r="G342" s="13"/>
      <c r="H342" s="14"/>
      <c r="I342" s="20"/>
      <c r="J342" s="15" t="str" cm="1">
        <f t="array" ref="J342">IF(B342&lt;&gt;"",MATCH(TRUE, INDEX((B343:B$9601&lt;&gt;""), 0), 0) - 1,"")</f>
        <v/>
      </c>
      <c r="K342" s="19" t="b">
        <v>0</v>
      </c>
      <c r="L342" s="17"/>
      <c r="M342" s="23"/>
    </row>
    <row r="343" spans="2:13" s="10" customFormat="1" ht="25.2" customHeight="1" outlineLevel="1" x14ac:dyDescent="0.45">
      <c r="B343" s="63"/>
      <c r="C343" s="24"/>
      <c r="D343" s="77" t="s">
        <v>90</v>
      </c>
      <c r="E343" s="13" t="s">
        <v>623</v>
      </c>
      <c r="F343" s="13"/>
      <c r="G343" s="13"/>
      <c r="H343" s="14"/>
      <c r="I343" s="20"/>
      <c r="J343" s="15" t="str" cm="1">
        <f t="array" ref="J343">IF(B343&lt;&gt;"",MATCH(TRUE, INDEX((B344:B$9601&lt;&gt;""), 0), 0) - 1,"")</f>
        <v/>
      </c>
      <c r="K343" s="19" t="b">
        <v>0</v>
      </c>
      <c r="L343" s="17"/>
      <c r="M343" s="23"/>
    </row>
    <row r="344" spans="2:13" s="10" customFormat="1" ht="25.2" customHeight="1" outlineLevel="1" x14ac:dyDescent="0.45">
      <c r="B344" s="63"/>
      <c r="C344" s="24"/>
      <c r="D344" s="77" t="s">
        <v>91</v>
      </c>
      <c r="E344" s="13" t="s">
        <v>623</v>
      </c>
      <c r="F344" s="13"/>
      <c r="G344" s="13"/>
      <c r="H344" s="14"/>
      <c r="I344" s="20"/>
      <c r="J344" s="15" t="str" cm="1">
        <f t="array" ref="J344">IF(B344&lt;&gt;"",MATCH(TRUE, INDEX((B345:B$9601&lt;&gt;""), 0), 0) - 1,"")</f>
        <v/>
      </c>
      <c r="K344" s="19" t="b">
        <v>0</v>
      </c>
      <c r="L344" s="17"/>
      <c r="M344" s="23"/>
    </row>
    <row r="345" spans="2:13" s="10" customFormat="1" ht="25.2" customHeight="1" outlineLevel="1" x14ac:dyDescent="0.45">
      <c r="B345" s="63"/>
      <c r="C345" s="24"/>
      <c r="D345" s="77" t="s">
        <v>92</v>
      </c>
      <c r="E345" s="13" t="s">
        <v>623</v>
      </c>
      <c r="F345" s="13"/>
      <c r="G345" s="13"/>
      <c r="H345" s="14"/>
      <c r="I345" s="20"/>
      <c r="J345" s="15" t="str" cm="1">
        <f t="array" ref="J345">IF(B345&lt;&gt;"",MATCH(TRUE, INDEX((B346:B$9601&lt;&gt;""), 0), 0) - 1,"")</f>
        <v/>
      </c>
      <c r="K345" s="19" t="b">
        <v>0</v>
      </c>
      <c r="L345" s="17"/>
      <c r="M345" s="23"/>
    </row>
    <row r="346" spans="2:13" s="10" customFormat="1" ht="25.2" customHeight="1" outlineLevel="1" x14ac:dyDescent="0.45">
      <c r="B346" s="63"/>
      <c r="C346" s="24"/>
      <c r="D346" s="77" t="s">
        <v>93</v>
      </c>
      <c r="E346" s="13" t="s">
        <v>623</v>
      </c>
      <c r="F346" s="13"/>
      <c r="G346" s="13"/>
      <c r="H346" s="14"/>
      <c r="I346" s="20"/>
      <c r="J346" s="15" t="str" cm="1">
        <f t="array" ref="J346">IF(B346&lt;&gt;"",MATCH(TRUE, INDEX((B347:B$9601&lt;&gt;""), 0), 0) - 1,"")</f>
        <v/>
      </c>
      <c r="K346" s="19" t="b">
        <v>0</v>
      </c>
      <c r="L346" s="17"/>
      <c r="M346" s="23"/>
    </row>
    <row r="347" spans="2:13" s="10" customFormat="1" ht="25.2" customHeight="1" outlineLevel="1" x14ac:dyDescent="0.45">
      <c r="B347" s="63"/>
      <c r="C347" s="24"/>
      <c r="D347" s="77" t="s">
        <v>94</v>
      </c>
      <c r="E347" s="13" t="s">
        <v>623</v>
      </c>
      <c r="F347" s="13"/>
      <c r="G347" s="13"/>
      <c r="H347" s="14"/>
      <c r="I347" s="20"/>
      <c r="J347" s="15" t="str" cm="1">
        <f t="array" ref="J347">IF(B347&lt;&gt;"",MATCH(TRUE, INDEX((B348:B$9601&lt;&gt;""), 0), 0) - 1,"")</f>
        <v/>
      </c>
      <c r="K347" s="19" t="b">
        <v>0</v>
      </c>
      <c r="L347" s="17"/>
      <c r="M347" s="23"/>
    </row>
    <row r="348" spans="2:13" s="10" customFormat="1" ht="25.2" customHeight="1" outlineLevel="1" x14ac:dyDescent="0.45">
      <c r="B348" s="63"/>
      <c r="C348" s="24"/>
      <c r="D348" s="77" t="s">
        <v>95</v>
      </c>
      <c r="E348" s="13" t="s">
        <v>623</v>
      </c>
      <c r="F348" s="13"/>
      <c r="G348" s="13"/>
      <c r="H348" s="14"/>
      <c r="I348" s="20"/>
      <c r="J348" s="15" t="str" cm="1">
        <f t="array" ref="J348">IF(B348&lt;&gt;"",MATCH(TRUE, INDEX((B349:B$9601&lt;&gt;""), 0), 0) - 1,"")</f>
        <v/>
      </c>
      <c r="K348" s="19" t="b">
        <v>0</v>
      </c>
      <c r="L348" s="17"/>
      <c r="M348" s="23"/>
    </row>
    <row r="349" spans="2:13" s="10" customFormat="1" ht="25.2" customHeight="1" outlineLevel="1" x14ac:dyDescent="0.45">
      <c r="B349" s="63"/>
      <c r="C349" s="24"/>
      <c r="D349" s="77" t="s">
        <v>96</v>
      </c>
      <c r="E349" s="13" t="s">
        <v>623</v>
      </c>
      <c r="F349" s="13"/>
      <c r="G349" s="13"/>
      <c r="H349" s="14"/>
      <c r="I349" s="20"/>
      <c r="J349" s="15" t="str" cm="1">
        <f t="array" ref="J349">IF(B349&lt;&gt;"",MATCH(TRUE, INDEX((B350:B$9601&lt;&gt;""), 0), 0) - 1,"")</f>
        <v/>
      </c>
      <c r="K349" s="19" t="b">
        <v>0</v>
      </c>
      <c r="L349" s="17"/>
      <c r="M349" s="23"/>
    </row>
    <row r="350" spans="2:13" s="10" customFormat="1" ht="25.2" customHeight="1" outlineLevel="1" x14ac:dyDescent="0.45">
      <c r="B350" s="63"/>
      <c r="C350" s="24"/>
      <c r="D350" s="77" t="s">
        <v>97</v>
      </c>
      <c r="E350" s="13" t="s">
        <v>623</v>
      </c>
      <c r="F350" s="13"/>
      <c r="G350" s="13"/>
      <c r="H350" s="14"/>
      <c r="I350" s="20"/>
      <c r="J350" s="15" t="str" cm="1">
        <f t="array" ref="J350">IF(B350&lt;&gt;"",MATCH(TRUE, INDEX((B351:B$9601&lt;&gt;""), 0), 0) - 1,"")</f>
        <v/>
      </c>
      <c r="K350" s="19" t="b">
        <v>0</v>
      </c>
      <c r="L350" s="17"/>
      <c r="M350" s="23"/>
    </row>
    <row r="351" spans="2:13" s="10" customFormat="1" ht="25.2" customHeight="1" outlineLevel="1" x14ac:dyDescent="0.45">
      <c r="B351" s="63"/>
      <c r="C351" s="24"/>
      <c r="D351" s="77" t="s">
        <v>98</v>
      </c>
      <c r="E351" s="13" t="s">
        <v>623</v>
      </c>
      <c r="F351" s="13"/>
      <c r="G351" s="13"/>
      <c r="H351" s="14"/>
      <c r="I351" s="20"/>
      <c r="J351" s="15" t="str" cm="1">
        <f t="array" ref="J351">IF(B351&lt;&gt;"",MATCH(TRUE, INDEX((B352:B$9601&lt;&gt;""), 0), 0) - 1,"")</f>
        <v/>
      </c>
      <c r="K351" s="19" t="b">
        <v>0</v>
      </c>
      <c r="L351" s="17"/>
      <c r="M351" s="23"/>
    </row>
    <row r="352" spans="2:13" s="10" customFormat="1" ht="25.2" customHeight="1" outlineLevel="1" x14ac:dyDescent="0.45">
      <c r="B352" s="63"/>
      <c r="C352" s="24"/>
      <c r="D352" s="77" t="s">
        <v>99</v>
      </c>
      <c r="E352" s="13" t="s">
        <v>623</v>
      </c>
      <c r="F352" s="13"/>
      <c r="G352" s="13"/>
      <c r="H352" s="14"/>
      <c r="I352" s="20"/>
      <c r="J352" s="15" t="str" cm="1">
        <f t="array" ref="J352">IF(B352&lt;&gt;"",MATCH(TRUE, INDEX((B353:B$9601&lt;&gt;""), 0), 0) - 1,"")</f>
        <v/>
      </c>
      <c r="K352" s="19" t="b">
        <v>0</v>
      </c>
      <c r="L352" s="17"/>
      <c r="M352" s="23"/>
    </row>
    <row r="353" spans="2:13" s="10" customFormat="1" ht="25.2" customHeight="1" outlineLevel="1" x14ac:dyDescent="0.45">
      <c r="B353" s="63"/>
      <c r="C353" s="24"/>
      <c r="D353" s="77" t="s">
        <v>100</v>
      </c>
      <c r="E353" s="13" t="s">
        <v>623</v>
      </c>
      <c r="F353" s="13"/>
      <c r="G353" s="13"/>
      <c r="H353" s="14"/>
      <c r="I353" s="20"/>
      <c r="J353" s="15" t="str" cm="1">
        <f t="array" ref="J353">IF(B353&lt;&gt;"",MATCH(TRUE, INDEX((B354:B$9601&lt;&gt;""), 0), 0) - 1,"")</f>
        <v/>
      </c>
      <c r="K353" s="19" t="b">
        <v>0</v>
      </c>
      <c r="L353" s="17"/>
      <c r="M353" s="23"/>
    </row>
    <row r="354" spans="2:13" s="10" customFormat="1" ht="25.2" customHeight="1" outlineLevel="1" x14ac:dyDescent="0.45">
      <c r="B354" s="63"/>
      <c r="C354" s="24"/>
      <c r="D354" s="77" t="s">
        <v>101</v>
      </c>
      <c r="E354" s="13" t="s">
        <v>623</v>
      </c>
      <c r="F354" s="13"/>
      <c r="G354" s="13"/>
      <c r="H354" s="14"/>
      <c r="I354" s="20"/>
      <c r="J354" s="15" t="str" cm="1">
        <f t="array" ref="J354">IF(B354&lt;&gt;"",MATCH(TRUE, INDEX((B355:B$9601&lt;&gt;""), 0), 0) - 1,"")</f>
        <v/>
      </c>
      <c r="K354" s="19" t="b">
        <v>0</v>
      </c>
      <c r="L354" s="17"/>
      <c r="M354" s="23"/>
    </row>
    <row r="355" spans="2:13" s="10" customFormat="1" ht="25.2" customHeight="1" outlineLevel="1" x14ac:dyDescent="0.45">
      <c r="B355" s="63"/>
      <c r="C355" s="24"/>
      <c r="D355" s="77" t="s">
        <v>102</v>
      </c>
      <c r="E355" s="13" t="s">
        <v>623</v>
      </c>
      <c r="F355" s="13"/>
      <c r="G355" s="13"/>
      <c r="H355" s="14"/>
      <c r="I355" s="20"/>
      <c r="J355" s="15" t="str" cm="1">
        <f t="array" ref="J355">IF(B355&lt;&gt;"",MATCH(TRUE, INDEX((B356:B$9601&lt;&gt;""), 0), 0) - 1,"")</f>
        <v/>
      </c>
      <c r="K355" s="19" t="b">
        <v>0</v>
      </c>
      <c r="L355" s="17"/>
      <c r="M355" s="23"/>
    </row>
    <row r="356" spans="2:13" s="10" customFormat="1" ht="25.2" customHeight="1" outlineLevel="1" x14ac:dyDescent="0.45">
      <c r="B356" s="63"/>
      <c r="C356" s="24"/>
      <c r="D356" s="77" t="s">
        <v>103</v>
      </c>
      <c r="E356" s="13" t="s">
        <v>623</v>
      </c>
      <c r="F356" s="13"/>
      <c r="G356" s="13"/>
      <c r="H356" s="14"/>
      <c r="I356" s="20"/>
      <c r="J356" s="15" t="str" cm="1">
        <f t="array" ref="J356">IF(B356&lt;&gt;"",MATCH(TRUE, INDEX((B357:B$9601&lt;&gt;""), 0), 0) - 1,"")</f>
        <v/>
      </c>
      <c r="K356" s="19" t="b">
        <v>0</v>
      </c>
      <c r="L356" s="17"/>
      <c r="M356" s="23"/>
    </row>
    <row r="357" spans="2:13" s="10" customFormat="1" ht="25.2" customHeight="1" outlineLevel="1" x14ac:dyDescent="0.45">
      <c r="B357" s="63"/>
      <c r="C357" s="24"/>
      <c r="D357" s="77" t="s">
        <v>104</v>
      </c>
      <c r="E357" s="13" t="s">
        <v>623</v>
      </c>
      <c r="F357" s="13"/>
      <c r="G357" s="13"/>
      <c r="H357" s="14"/>
      <c r="I357" s="20"/>
      <c r="J357" s="15" t="str" cm="1">
        <f t="array" ref="J357">IF(B357&lt;&gt;"",MATCH(TRUE, INDEX((B358:B$9601&lt;&gt;""), 0), 0) - 1,"")</f>
        <v/>
      </c>
      <c r="K357" s="19" t="b">
        <v>0</v>
      </c>
      <c r="L357" s="17"/>
      <c r="M357" s="23"/>
    </row>
    <row r="358" spans="2:13" s="10" customFormat="1" ht="25.2" customHeight="1" outlineLevel="1" x14ac:dyDescent="0.45">
      <c r="B358" s="63"/>
      <c r="C358" s="24"/>
      <c r="D358" s="77" t="s">
        <v>105</v>
      </c>
      <c r="E358" s="13" t="s">
        <v>623</v>
      </c>
      <c r="F358" s="13"/>
      <c r="G358" s="13"/>
      <c r="H358" s="14"/>
      <c r="I358" s="20"/>
      <c r="J358" s="15" t="str" cm="1">
        <f t="array" ref="J358">IF(B358&lt;&gt;"",MATCH(TRUE, INDEX((B359:B$9601&lt;&gt;""), 0), 0) - 1,"")</f>
        <v/>
      </c>
      <c r="K358" s="19" t="b">
        <v>0</v>
      </c>
      <c r="L358" s="17"/>
      <c r="M358" s="23"/>
    </row>
    <row r="359" spans="2:13" s="10" customFormat="1" ht="25.2" customHeight="1" outlineLevel="1" x14ac:dyDescent="0.45">
      <c r="B359" s="63"/>
      <c r="C359" s="24"/>
      <c r="D359" s="77" t="s">
        <v>106</v>
      </c>
      <c r="E359" s="13" t="s">
        <v>623</v>
      </c>
      <c r="F359" s="13"/>
      <c r="G359" s="13"/>
      <c r="H359" s="14"/>
      <c r="I359" s="20"/>
      <c r="J359" s="15" t="str" cm="1">
        <f t="array" ref="J359">IF(B359&lt;&gt;"",MATCH(TRUE, INDEX((B360:B$9601&lt;&gt;""), 0), 0) - 1,"")</f>
        <v/>
      </c>
      <c r="K359" s="19" t="b">
        <v>0</v>
      </c>
      <c r="L359" s="17"/>
      <c r="M359" s="23"/>
    </row>
    <row r="360" spans="2:13" s="10" customFormat="1" ht="25.2" customHeight="1" outlineLevel="1" x14ac:dyDescent="0.45">
      <c r="B360" s="63"/>
      <c r="C360" s="24"/>
      <c r="D360" s="77" t="s">
        <v>107</v>
      </c>
      <c r="E360" s="13" t="s">
        <v>623</v>
      </c>
      <c r="F360" s="13"/>
      <c r="G360" s="13"/>
      <c r="H360" s="14"/>
      <c r="I360" s="20"/>
      <c r="J360" s="15" t="str" cm="1">
        <f t="array" ref="J360">IF(B360&lt;&gt;"",MATCH(TRUE, INDEX((B361:B$9601&lt;&gt;""), 0), 0) - 1,"")</f>
        <v/>
      </c>
      <c r="K360" s="19" t="b">
        <v>0</v>
      </c>
      <c r="L360" s="17"/>
      <c r="M360" s="23"/>
    </row>
    <row r="361" spans="2:13" s="10" customFormat="1" ht="25.2" customHeight="1" outlineLevel="1" x14ac:dyDescent="0.45">
      <c r="B361" s="63"/>
      <c r="C361" s="24"/>
      <c r="D361" s="77" t="s">
        <v>108</v>
      </c>
      <c r="E361" s="13" t="s">
        <v>623</v>
      </c>
      <c r="F361" s="13"/>
      <c r="G361" s="13"/>
      <c r="H361" s="14"/>
      <c r="I361" s="20"/>
      <c r="J361" s="15" t="str" cm="1">
        <f t="array" ref="J361">IF(B361&lt;&gt;"",MATCH(TRUE, INDEX((B362:B$9601&lt;&gt;""), 0), 0) - 1,"")</f>
        <v/>
      </c>
      <c r="K361" s="19" t="b">
        <v>0</v>
      </c>
      <c r="L361" s="17"/>
      <c r="M361" s="23"/>
    </row>
    <row r="362" spans="2:13" s="10" customFormat="1" ht="25.2" customHeight="1" outlineLevel="1" x14ac:dyDescent="0.45">
      <c r="B362" s="63"/>
      <c r="C362" s="24"/>
      <c r="D362" s="77" t="s">
        <v>109</v>
      </c>
      <c r="E362" s="13" t="s">
        <v>623</v>
      </c>
      <c r="F362" s="13"/>
      <c r="G362" s="13"/>
      <c r="H362" s="14"/>
      <c r="I362" s="20"/>
      <c r="J362" s="15" t="str" cm="1">
        <f t="array" ref="J362">IF(B362&lt;&gt;"",MATCH(TRUE, INDEX((B363:B$9601&lt;&gt;""), 0), 0) - 1,"")</f>
        <v/>
      </c>
      <c r="K362" s="19" t="b">
        <v>0</v>
      </c>
      <c r="L362" s="17"/>
      <c r="M362" s="23"/>
    </row>
    <row r="363" spans="2:13" s="10" customFormat="1" ht="25.2" customHeight="1" outlineLevel="1" x14ac:dyDescent="0.45">
      <c r="B363" s="63"/>
      <c r="C363" s="24"/>
      <c r="D363" s="77" t="s">
        <v>110</v>
      </c>
      <c r="E363" s="13" t="s">
        <v>623</v>
      </c>
      <c r="F363" s="13"/>
      <c r="G363" s="13"/>
      <c r="H363" s="14"/>
      <c r="I363" s="20"/>
      <c r="J363" s="15" t="str" cm="1">
        <f t="array" ref="J363">IF(B363&lt;&gt;"",MATCH(TRUE, INDEX((B364:B$9601&lt;&gt;""), 0), 0) - 1,"")</f>
        <v/>
      </c>
      <c r="K363" s="19" t="b">
        <v>0</v>
      </c>
      <c r="L363" s="17"/>
      <c r="M363" s="23"/>
    </row>
    <row r="364" spans="2:13" s="10" customFormat="1" ht="25.2" customHeight="1" outlineLevel="1" x14ac:dyDescent="0.45">
      <c r="B364" s="63"/>
      <c r="C364" s="24"/>
      <c r="D364" s="77" t="s">
        <v>111</v>
      </c>
      <c r="E364" s="13" t="s">
        <v>623</v>
      </c>
      <c r="F364" s="13"/>
      <c r="G364" s="13"/>
      <c r="H364" s="14"/>
      <c r="I364" s="20"/>
      <c r="J364" s="15" t="str" cm="1">
        <f t="array" ref="J364">IF(B364&lt;&gt;"",MATCH(TRUE, INDEX((B365:B$9601&lt;&gt;""), 0), 0) - 1,"")</f>
        <v/>
      </c>
      <c r="K364" s="19" t="b">
        <v>0</v>
      </c>
      <c r="L364" s="17"/>
      <c r="M364" s="23"/>
    </row>
    <row r="365" spans="2:13" s="10" customFormat="1" ht="25.2" customHeight="1" outlineLevel="1" x14ac:dyDescent="0.45">
      <c r="B365" s="63"/>
      <c r="C365" s="24"/>
      <c r="D365" s="77" t="s">
        <v>112</v>
      </c>
      <c r="E365" s="13" t="s">
        <v>623</v>
      </c>
      <c r="F365" s="13"/>
      <c r="G365" s="13"/>
      <c r="H365" s="14"/>
      <c r="I365" s="20"/>
      <c r="J365" s="15" t="str" cm="1">
        <f t="array" ref="J365">IF(B365&lt;&gt;"",MATCH(TRUE, INDEX((B366:B$9601&lt;&gt;""), 0), 0) - 1,"")</f>
        <v/>
      </c>
      <c r="K365" s="19" t="b">
        <v>0</v>
      </c>
      <c r="L365" s="17"/>
      <c r="M365" s="23"/>
    </row>
    <row r="366" spans="2:13" s="10" customFormat="1" ht="25.2" customHeight="1" outlineLevel="1" x14ac:dyDescent="0.45">
      <c r="B366" s="63"/>
      <c r="C366" s="24"/>
      <c r="D366" s="77" t="s">
        <v>113</v>
      </c>
      <c r="E366" s="13" t="s">
        <v>623</v>
      </c>
      <c r="F366" s="13"/>
      <c r="G366" s="13"/>
      <c r="H366" s="14"/>
      <c r="I366" s="20"/>
      <c r="J366" s="15" t="str" cm="1">
        <f t="array" ref="J366">IF(B366&lt;&gt;"",MATCH(TRUE, INDEX((B367:B$9601&lt;&gt;""), 0), 0) - 1,"")</f>
        <v/>
      </c>
      <c r="K366" s="19" t="b">
        <v>0</v>
      </c>
      <c r="L366" s="17"/>
      <c r="M366" s="23"/>
    </row>
    <row r="367" spans="2:13" s="10" customFormat="1" ht="25.2" customHeight="1" x14ac:dyDescent="0.45">
      <c r="B367" s="63">
        <v>30</v>
      </c>
      <c r="C367" s="74" t="s">
        <v>467</v>
      </c>
      <c r="D367" s="22" t="s">
        <v>386</v>
      </c>
      <c r="E367" s="13" t="s">
        <v>623</v>
      </c>
      <c r="F367" s="13"/>
      <c r="G367" s="13"/>
      <c r="H367" s="14" t="str">
        <f>IF(K367=100, "FINISH", IF(K367&gt;0, "IN PROGRESS", IF(K367=0, "SCHED-OK", "")))</f>
        <v>SCHED-OK</v>
      </c>
      <c r="I367" s="20" t="s">
        <v>40</v>
      </c>
      <c r="J367" s="15" cm="1">
        <f t="array" ref="J367">IF(B367&lt;&gt;"",MATCH(TRUE, INDEX((B368:B$9601&lt;&gt;""), 0), 0) - 1,"")</f>
        <v>40</v>
      </c>
      <c r="K367" s="16">
        <f>IF(J367&gt;0, COUNTIF(K368:INDEX(K368:K$9577, J367), TRUE)/J367*100, "")</f>
        <v>0</v>
      </c>
      <c r="L367" s="17" t="s">
        <v>20</v>
      </c>
      <c r="M367" s="18"/>
    </row>
    <row r="368" spans="2:13" s="10" customFormat="1" ht="25.2" customHeight="1" outlineLevel="1" x14ac:dyDescent="0.45">
      <c r="B368" s="63"/>
      <c r="C368" s="24"/>
      <c r="D368" s="77" t="s">
        <v>114</v>
      </c>
      <c r="E368" s="13" t="s">
        <v>623</v>
      </c>
      <c r="F368" s="13"/>
      <c r="G368" s="13"/>
      <c r="H368" s="14"/>
      <c r="I368" s="20" t="s">
        <v>33</v>
      </c>
      <c r="J368" s="15" t="str" cm="1">
        <f t="array" ref="J368">IF(B368&lt;&gt;"",MATCH(TRUE, INDEX((B369:B$9601&lt;&gt;""), 0), 0) - 1,"")</f>
        <v/>
      </c>
      <c r="K368" s="19" t="b">
        <v>0</v>
      </c>
      <c r="L368" s="17"/>
      <c r="M368" s="23"/>
    </row>
    <row r="369" spans="2:13" s="10" customFormat="1" ht="25.2" customHeight="1" outlineLevel="1" x14ac:dyDescent="0.45">
      <c r="B369" s="63"/>
      <c r="C369" s="12"/>
      <c r="D369" s="77" t="s">
        <v>115</v>
      </c>
      <c r="E369" s="13" t="s">
        <v>623</v>
      </c>
      <c r="F369" s="13"/>
      <c r="G369" s="13"/>
      <c r="H369" s="14"/>
      <c r="I369" s="20" t="s">
        <v>33</v>
      </c>
      <c r="J369" s="15" t="str" cm="1">
        <f t="array" ref="J369">IF(B369&lt;&gt;"",MATCH(TRUE, INDEX((B370:B$9601&lt;&gt;""), 0), 0) - 1,"")</f>
        <v/>
      </c>
      <c r="K369" s="19" t="b">
        <v>0</v>
      </c>
      <c r="L369" s="17"/>
      <c r="M369" s="23"/>
    </row>
    <row r="370" spans="2:13" s="10" customFormat="1" ht="25.2" customHeight="1" outlineLevel="1" x14ac:dyDescent="0.45">
      <c r="B370" s="63"/>
      <c r="C370" s="24"/>
      <c r="D370" s="77" t="s">
        <v>116</v>
      </c>
      <c r="E370" s="13" t="s">
        <v>623</v>
      </c>
      <c r="F370" s="13"/>
      <c r="G370" s="13"/>
      <c r="H370" s="14"/>
      <c r="I370" s="20" t="s">
        <v>33</v>
      </c>
      <c r="J370" s="15" t="str" cm="1">
        <f t="array" ref="J370">IF(B370&lt;&gt;"",MATCH(TRUE, INDEX((B371:B$9601&lt;&gt;""), 0), 0) - 1,"")</f>
        <v/>
      </c>
      <c r="K370" s="19" t="b">
        <v>0</v>
      </c>
      <c r="L370" s="17"/>
      <c r="M370" s="23"/>
    </row>
    <row r="371" spans="2:13" s="10" customFormat="1" ht="25.2" customHeight="1" outlineLevel="1" x14ac:dyDescent="0.45">
      <c r="B371" s="63"/>
      <c r="C371" s="24"/>
      <c r="D371" s="77" t="s">
        <v>117</v>
      </c>
      <c r="E371" s="13" t="s">
        <v>623</v>
      </c>
      <c r="F371" s="13"/>
      <c r="G371" s="13"/>
      <c r="H371" s="14"/>
      <c r="I371" s="20" t="s">
        <v>33</v>
      </c>
      <c r="J371" s="15" t="str" cm="1">
        <f t="array" ref="J371">IF(B371&lt;&gt;"",MATCH(TRUE, INDEX((B372:B$9601&lt;&gt;""), 0), 0) - 1,"")</f>
        <v/>
      </c>
      <c r="K371" s="19" t="b">
        <v>0</v>
      </c>
      <c r="L371" s="17"/>
      <c r="M371" s="23"/>
    </row>
    <row r="372" spans="2:13" s="10" customFormat="1" ht="25.2" customHeight="1" outlineLevel="1" x14ac:dyDescent="0.45">
      <c r="B372" s="63"/>
      <c r="C372" s="24"/>
      <c r="D372" s="77" t="s">
        <v>118</v>
      </c>
      <c r="E372" s="13" t="s">
        <v>623</v>
      </c>
      <c r="F372" s="13"/>
      <c r="G372" s="13"/>
      <c r="H372" s="14"/>
      <c r="I372" s="20" t="s">
        <v>33</v>
      </c>
      <c r="J372" s="15" t="str" cm="1">
        <f t="array" ref="J372">IF(B372&lt;&gt;"",MATCH(TRUE, INDEX((B373:B$9601&lt;&gt;""), 0), 0) - 1,"")</f>
        <v/>
      </c>
      <c r="K372" s="19" t="b">
        <v>0</v>
      </c>
      <c r="L372" s="17"/>
      <c r="M372" s="23"/>
    </row>
    <row r="373" spans="2:13" s="10" customFormat="1" ht="25.2" customHeight="1" outlineLevel="1" x14ac:dyDescent="0.45">
      <c r="B373" s="63"/>
      <c r="C373" s="24"/>
      <c r="D373" s="77" t="s">
        <v>119</v>
      </c>
      <c r="E373" s="13" t="s">
        <v>623</v>
      </c>
      <c r="F373" s="13"/>
      <c r="G373" s="13"/>
      <c r="H373" s="14"/>
      <c r="I373" s="20" t="s">
        <v>33</v>
      </c>
      <c r="J373" s="15" t="str" cm="1">
        <f t="array" ref="J373">IF(B373&lt;&gt;"",MATCH(TRUE, INDEX((B374:B$9601&lt;&gt;""), 0), 0) - 1,"")</f>
        <v/>
      </c>
      <c r="K373" s="19" t="b">
        <v>0</v>
      </c>
      <c r="L373" s="17"/>
      <c r="M373" s="23"/>
    </row>
    <row r="374" spans="2:13" s="10" customFormat="1" ht="25.2" customHeight="1" outlineLevel="1" x14ac:dyDescent="0.45">
      <c r="B374" s="63"/>
      <c r="C374" s="24"/>
      <c r="D374" s="77" t="s">
        <v>120</v>
      </c>
      <c r="E374" s="13" t="s">
        <v>623</v>
      </c>
      <c r="F374" s="13"/>
      <c r="G374" s="13"/>
      <c r="H374" s="14"/>
      <c r="I374" s="20" t="s">
        <v>33</v>
      </c>
      <c r="J374" s="15" t="str" cm="1">
        <f t="array" ref="J374">IF(B374&lt;&gt;"",MATCH(TRUE, INDEX((B375:B$9601&lt;&gt;""), 0), 0) - 1,"")</f>
        <v/>
      </c>
      <c r="K374" s="19" t="b">
        <v>0</v>
      </c>
      <c r="L374" s="17"/>
      <c r="M374" s="23"/>
    </row>
    <row r="375" spans="2:13" s="10" customFormat="1" ht="25.2" customHeight="1" outlineLevel="1" x14ac:dyDescent="0.45">
      <c r="B375" s="63"/>
      <c r="C375" s="24"/>
      <c r="D375" s="77" t="s">
        <v>121</v>
      </c>
      <c r="E375" s="13" t="s">
        <v>623</v>
      </c>
      <c r="F375" s="13"/>
      <c r="G375" s="13"/>
      <c r="H375" s="14"/>
      <c r="I375" s="20" t="s">
        <v>33</v>
      </c>
      <c r="J375" s="15" t="str" cm="1">
        <f t="array" ref="J375">IF(B375&lt;&gt;"",MATCH(TRUE, INDEX((B376:B$9601&lt;&gt;""), 0), 0) - 1,"")</f>
        <v/>
      </c>
      <c r="K375" s="19" t="b">
        <v>0</v>
      </c>
      <c r="L375" s="17"/>
      <c r="M375" s="23"/>
    </row>
    <row r="376" spans="2:13" s="10" customFormat="1" ht="25.2" customHeight="1" outlineLevel="1" x14ac:dyDescent="0.45">
      <c r="B376" s="63"/>
      <c r="C376" s="24"/>
      <c r="D376" s="77" t="s">
        <v>122</v>
      </c>
      <c r="E376" s="13" t="s">
        <v>623</v>
      </c>
      <c r="F376" s="13"/>
      <c r="G376" s="13"/>
      <c r="H376" s="14"/>
      <c r="I376" s="20" t="s">
        <v>33</v>
      </c>
      <c r="J376" s="15" t="str" cm="1">
        <f t="array" ref="J376">IF(B376&lt;&gt;"",MATCH(TRUE, INDEX((B377:B$9601&lt;&gt;""), 0), 0) - 1,"")</f>
        <v/>
      </c>
      <c r="K376" s="19" t="b">
        <v>0</v>
      </c>
      <c r="L376" s="17"/>
      <c r="M376" s="23"/>
    </row>
    <row r="377" spans="2:13" s="10" customFormat="1" ht="25.2" customHeight="1" outlineLevel="1" x14ac:dyDescent="0.45">
      <c r="B377" s="63"/>
      <c r="C377" s="24"/>
      <c r="D377" s="77" t="s">
        <v>123</v>
      </c>
      <c r="E377" s="13" t="s">
        <v>623</v>
      </c>
      <c r="F377" s="13"/>
      <c r="G377" s="13"/>
      <c r="H377" s="14"/>
      <c r="I377" s="20" t="s">
        <v>33</v>
      </c>
      <c r="J377" s="15" t="str" cm="1">
        <f t="array" ref="J377">IF(B377&lt;&gt;"",MATCH(TRUE, INDEX((B378:B$9601&lt;&gt;""), 0), 0) - 1,"")</f>
        <v/>
      </c>
      <c r="K377" s="19" t="b">
        <v>0</v>
      </c>
      <c r="L377" s="17"/>
      <c r="M377" s="23"/>
    </row>
    <row r="378" spans="2:13" s="10" customFormat="1" ht="25.2" customHeight="1" outlineLevel="1" x14ac:dyDescent="0.45">
      <c r="B378" s="63"/>
      <c r="C378" s="24"/>
      <c r="D378" s="77" t="s">
        <v>124</v>
      </c>
      <c r="E378" s="13" t="s">
        <v>623</v>
      </c>
      <c r="F378" s="13"/>
      <c r="G378" s="13"/>
      <c r="H378" s="14"/>
      <c r="I378" s="20" t="s">
        <v>33</v>
      </c>
      <c r="J378" s="15" t="str" cm="1">
        <f t="array" ref="J378">IF(B378&lt;&gt;"",MATCH(TRUE, INDEX((B379:B$9601&lt;&gt;""), 0), 0) - 1,"")</f>
        <v/>
      </c>
      <c r="K378" s="19" t="b">
        <v>0</v>
      </c>
      <c r="L378" s="17"/>
      <c r="M378" s="23"/>
    </row>
    <row r="379" spans="2:13" s="10" customFormat="1" ht="25.2" customHeight="1" outlineLevel="1" x14ac:dyDescent="0.45">
      <c r="B379" s="63"/>
      <c r="C379" s="24"/>
      <c r="D379" s="77" t="s">
        <v>125</v>
      </c>
      <c r="E379" s="13" t="s">
        <v>623</v>
      </c>
      <c r="F379" s="13"/>
      <c r="G379" s="13"/>
      <c r="H379" s="14"/>
      <c r="I379" s="20" t="s">
        <v>33</v>
      </c>
      <c r="J379" s="15" t="str" cm="1">
        <f t="array" ref="J379">IF(B379&lt;&gt;"",MATCH(TRUE, INDEX((B380:B$9601&lt;&gt;""), 0), 0) - 1,"")</f>
        <v/>
      </c>
      <c r="K379" s="19" t="b">
        <v>0</v>
      </c>
      <c r="L379" s="17"/>
      <c r="M379" s="23"/>
    </row>
    <row r="380" spans="2:13" s="10" customFormat="1" ht="25.2" customHeight="1" outlineLevel="1" x14ac:dyDescent="0.45">
      <c r="B380" s="63"/>
      <c r="C380" s="24"/>
      <c r="D380" s="77" t="s">
        <v>126</v>
      </c>
      <c r="E380" s="13" t="s">
        <v>623</v>
      </c>
      <c r="F380" s="13"/>
      <c r="G380" s="13"/>
      <c r="H380" s="14"/>
      <c r="I380" s="20" t="s">
        <v>33</v>
      </c>
      <c r="J380" s="15" t="str" cm="1">
        <f t="array" ref="J380">IF(B380&lt;&gt;"",MATCH(TRUE, INDEX((B381:B$9601&lt;&gt;""), 0), 0) - 1,"")</f>
        <v/>
      </c>
      <c r="K380" s="19" t="b">
        <v>0</v>
      </c>
      <c r="L380" s="17"/>
      <c r="M380" s="23"/>
    </row>
    <row r="381" spans="2:13" s="10" customFormat="1" ht="25.2" customHeight="1" outlineLevel="1" x14ac:dyDescent="0.45">
      <c r="B381" s="67"/>
      <c r="C381" s="24"/>
      <c r="D381" s="80" t="s">
        <v>127</v>
      </c>
      <c r="E381" s="13" t="s">
        <v>623</v>
      </c>
      <c r="F381" s="13"/>
      <c r="G381" s="13"/>
      <c r="H381" s="14"/>
      <c r="I381" s="20" t="s">
        <v>33</v>
      </c>
      <c r="J381" s="15" t="str" cm="1">
        <f t="array" ref="J381">IF(B381&lt;&gt;"",MATCH(TRUE, INDEX((B382:B$9601&lt;&gt;""), 0), 0) - 1,"")</f>
        <v/>
      </c>
      <c r="K381" s="19" t="b">
        <v>0</v>
      </c>
      <c r="L381" s="17"/>
      <c r="M381" s="23"/>
    </row>
    <row r="382" spans="2:13" s="10" customFormat="1" ht="25.2" customHeight="1" outlineLevel="1" x14ac:dyDescent="0.45">
      <c r="B382" s="63"/>
      <c r="C382" s="24"/>
      <c r="D382" s="77" t="s">
        <v>128</v>
      </c>
      <c r="E382" s="13" t="s">
        <v>623</v>
      </c>
      <c r="F382" s="13"/>
      <c r="G382" s="13"/>
      <c r="H382" s="14"/>
      <c r="I382" s="20" t="s">
        <v>33</v>
      </c>
      <c r="J382" s="15" t="str" cm="1">
        <f t="array" ref="J382">IF(B382&lt;&gt;"",MATCH(TRUE, INDEX((B383:B$9601&lt;&gt;""), 0), 0) - 1,"")</f>
        <v/>
      </c>
      <c r="K382" s="19" t="b">
        <v>0</v>
      </c>
      <c r="L382" s="17"/>
      <c r="M382" s="23"/>
    </row>
    <row r="383" spans="2:13" s="10" customFormat="1" ht="25.2" customHeight="1" outlineLevel="1" x14ac:dyDescent="0.45">
      <c r="B383" s="63"/>
      <c r="C383" s="24"/>
      <c r="D383" s="77" t="s">
        <v>129</v>
      </c>
      <c r="E383" s="13" t="s">
        <v>623</v>
      </c>
      <c r="F383" s="13"/>
      <c r="G383" s="13"/>
      <c r="H383" s="14"/>
      <c r="I383" s="20" t="s">
        <v>33</v>
      </c>
      <c r="J383" s="15" t="str" cm="1">
        <f t="array" ref="J383">IF(B383&lt;&gt;"",MATCH(TRUE, INDEX((B384:B$9601&lt;&gt;""), 0), 0) - 1,"")</f>
        <v/>
      </c>
      <c r="K383" s="19" t="b">
        <v>0</v>
      </c>
      <c r="L383" s="17"/>
      <c r="M383" s="23"/>
    </row>
    <row r="384" spans="2:13" s="10" customFormat="1" ht="25.2" customHeight="1" outlineLevel="1" x14ac:dyDescent="0.45">
      <c r="B384" s="63"/>
      <c r="C384" s="24"/>
      <c r="D384" s="77" t="s">
        <v>130</v>
      </c>
      <c r="E384" s="13" t="s">
        <v>623</v>
      </c>
      <c r="F384" s="13"/>
      <c r="G384" s="13"/>
      <c r="H384" s="14"/>
      <c r="I384" s="20" t="s">
        <v>33</v>
      </c>
      <c r="J384" s="15" t="str" cm="1">
        <f t="array" ref="J384">IF(B384&lt;&gt;"",MATCH(TRUE, INDEX((B385:B$9601&lt;&gt;""), 0), 0) - 1,"")</f>
        <v/>
      </c>
      <c r="K384" s="19" t="b">
        <v>0</v>
      </c>
      <c r="L384" s="17"/>
      <c r="M384" s="23"/>
    </row>
    <row r="385" spans="2:13" s="10" customFormat="1" ht="25.2" customHeight="1" outlineLevel="1" x14ac:dyDescent="0.45">
      <c r="B385" s="63"/>
      <c r="C385" s="24"/>
      <c r="D385" s="77" t="s">
        <v>131</v>
      </c>
      <c r="E385" s="13" t="s">
        <v>623</v>
      </c>
      <c r="F385" s="13"/>
      <c r="G385" s="13"/>
      <c r="H385" s="14"/>
      <c r="I385" s="20" t="s">
        <v>33</v>
      </c>
      <c r="J385" s="15" t="str" cm="1">
        <f t="array" ref="J385">IF(B385&lt;&gt;"",MATCH(TRUE, INDEX((B386:B$9601&lt;&gt;""), 0), 0) - 1,"")</f>
        <v/>
      </c>
      <c r="K385" s="19" t="b">
        <v>0</v>
      </c>
      <c r="L385" s="17"/>
      <c r="M385" s="23"/>
    </row>
    <row r="386" spans="2:13" s="10" customFormat="1" ht="25.2" customHeight="1" outlineLevel="1" x14ac:dyDescent="0.45">
      <c r="B386" s="63"/>
      <c r="C386" s="24"/>
      <c r="D386" s="77" t="s">
        <v>132</v>
      </c>
      <c r="E386" s="13" t="s">
        <v>623</v>
      </c>
      <c r="F386" s="13"/>
      <c r="G386" s="13"/>
      <c r="H386" s="14"/>
      <c r="I386" s="20" t="s">
        <v>33</v>
      </c>
      <c r="J386" s="15" t="str" cm="1">
        <f t="array" ref="J386">IF(B386&lt;&gt;"",MATCH(TRUE, INDEX((B387:B$9601&lt;&gt;""), 0), 0) - 1,"")</f>
        <v/>
      </c>
      <c r="K386" s="19" t="b">
        <v>0</v>
      </c>
      <c r="L386" s="17"/>
      <c r="M386" s="23"/>
    </row>
    <row r="387" spans="2:13" s="10" customFormat="1" ht="25.2" customHeight="1" outlineLevel="1" x14ac:dyDescent="0.45">
      <c r="B387" s="63"/>
      <c r="C387" s="24"/>
      <c r="D387" s="77" t="s">
        <v>133</v>
      </c>
      <c r="E387" s="13" t="s">
        <v>623</v>
      </c>
      <c r="F387" s="13"/>
      <c r="G387" s="13"/>
      <c r="H387" s="14"/>
      <c r="I387" s="20" t="s">
        <v>33</v>
      </c>
      <c r="J387" s="15" t="str" cm="1">
        <f t="array" ref="J387">IF(B387&lt;&gt;"",MATCH(TRUE, INDEX((B388:B$9601&lt;&gt;""), 0), 0) - 1,"")</f>
        <v/>
      </c>
      <c r="K387" s="19" t="b">
        <v>0</v>
      </c>
      <c r="L387" s="17"/>
      <c r="M387" s="23"/>
    </row>
    <row r="388" spans="2:13" s="10" customFormat="1" ht="25.2" customHeight="1" outlineLevel="1" x14ac:dyDescent="0.45">
      <c r="B388" s="63"/>
      <c r="C388" s="24"/>
      <c r="D388" s="77" t="s">
        <v>134</v>
      </c>
      <c r="E388" s="13" t="s">
        <v>623</v>
      </c>
      <c r="F388" s="13"/>
      <c r="G388" s="13"/>
      <c r="H388" s="14"/>
      <c r="I388" s="20" t="s">
        <v>33</v>
      </c>
      <c r="J388" s="15" t="str" cm="1">
        <f t="array" ref="J388">IF(B388&lt;&gt;"",MATCH(TRUE, INDEX((B389:B$9601&lt;&gt;""), 0), 0) - 1,"")</f>
        <v/>
      </c>
      <c r="K388" s="19" t="b">
        <v>0</v>
      </c>
      <c r="L388" s="17"/>
      <c r="M388" s="23"/>
    </row>
    <row r="389" spans="2:13" s="10" customFormat="1" ht="25.2" customHeight="1" outlineLevel="1" x14ac:dyDescent="0.45">
      <c r="B389" s="63"/>
      <c r="C389" s="24"/>
      <c r="D389" s="77" t="s">
        <v>135</v>
      </c>
      <c r="E389" s="13" t="s">
        <v>623</v>
      </c>
      <c r="F389" s="13"/>
      <c r="G389" s="13"/>
      <c r="H389" s="14"/>
      <c r="I389" s="20" t="s">
        <v>33</v>
      </c>
      <c r="J389" s="15" t="str" cm="1">
        <f t="array" ref="J389">IF(B389&lt;&gt;"",MATCH(TRUE, INDEX((B390:B$9601&lt;&gt;""), 0), 0) - 1,"")</f>
        <v/>
      </c>
      <c r="K389" s="19" t="b">
        <v>0</v>
      </c>
      <c r="L389" s="17"/>
      <c r="M389" s="23"/>
    </row>
    <row r="390" spans="2:13" s="10" customFormat="1" ht="25.2" customHeight="1" outlineLevel="1" x14ac:dyDescent="0.45">
      <c r="B390" s="63"/>
      <c r="C390" s="24"/>
      <c r="D390" s="77" t="s">
        <v>136</v>
      </c>
      <c r="E390" s="13" t="s">
        <v>623</v>
      </c>
      <c r="F390" s="13"/>
      <c r="G390" s="13"/>
      <c r="H390" s="14"/>
      <c r="I390" s="20" t="s">
        <v>33</v>
      </c>
      <c r="J390" s="15" t="str" cm="1">
        <f t="array" ref="J390">IF(B390&lt;&gt;"",MATCH(TRUE, INDEX((B391:B$9601&lt;&gt;""), 0), 0) - 1,"")</f>
        <v/>
      </c>
      <c r="K390" s="19" t="b">
        <v>0</v>
      </c>
      <c r="L390" s="17"/>
      <c r="M390" s="23"/>
    </row>
    <row r="391" spans="2:13" s="10" customFormat="1" ht="25.2" customHeight="1" outlineLevel="1" x14ac:dyDescent="0.45">
      <c r="B391" s="63"/>
      <c r="C391" s="24"/>
      <c r="D391" s="77" t="s">
        <v>137</v>
      </c>
      <c r="E391" s="13" t="s">
        <v>623</v>
      </c>
      <c r="F391" s="13"/>
      <c r="G391" s="13"/>
      <c r="H391" s="14"/>
      <c r="I391" s="20" t="s">
        <v>33</v>
      </c>
      <c r="J391" s="15" t="str" cm="1">
        <f t="array" ref="J391">IF(B391&lt;&gt;"",MATCH(TRUE, INDEX((B392:B$9601&lt;&gt;""), 0), 0) - 1,"")</f>
        <v/>
      </c>
      <c r="K391" s="19" t="b">
        <v>0</v>
      </c>
      <c r="L391" s="17"/>
      <c r="M391" s="23"/>
    </row>
    <row r="392" spans="2:13" s="10" customFormat="1" ht="25.2" customHeight="1" outlineLevel="1" x14ac:dyDescent="0.45">
      <c r="B392" s="63"/>
      <c r="C392" s="24"/>
      <c r="D392" s="77" t="s">
        <v>138</v>
      </c>
      <c r="E392" s="13" t="s">
        <v>623</v>
      </c>
      <c r="F392" s="13"/>
      <c r="G392" s="13"/>
      <c r="H392" s="14"/>
      <c r="I392" s="20" t="s">
        <v>33</v>
      </c>
      <c r="J392" s="15" t="str" cm="1">
        <f t="array" ref="J392">IF(B392&lt;&gt;"",MATCH(TRUE, INDEX((B393:B$9601&lt;&gt;""), 0), 0) - 1,"")</f>
        <v/>
      </c>
      <c r="K392" s="19" t="b">
        <v>0</v>
      </c>
      <c r="L392" s="17"/>
      <c r="M392" s="23"/>
    </row>
    <row r="393" spans="2:13" s="10" customFormat="1" ht="25.2" customHeight="1" outlineLevel="1" x14ac:dyDescent="0.45">
      <c r="B393" s="63"/>
      <c r="C393" s="24"/>
      <c r="D393" s="77" t="s">
        <v>139</v>
      </c>
      <c r="E393" s="13" t="s">
        <v>623</v>
      </c>
      <c r="F393" s="13"/>
      <c r="G393" s="13"/>
      <c r="H393" s="14"/>
      <c r="I393" s="20" t="s">
        <v>33</v>
      </c>
      <c r="J393" s="15" t="str" cm="1">
        <f t="array" ref="J393">IF(B393&lt;&gt;"",MATCH(TRUE, INDEX((B394:B$9601&lt;&gt;""), 0), 0) - 1,"")</f>
        <v/>
      </c>
      <c r="K393" s="19" t="b">
        <v>0</v>
      </c>
      <c r="L393" s="17"/>
      <c r="M393" s="23"/>
    </row>
    <row r="394" spans="2:13" s="10" customFormat="1" ht="25.2" customHeight="1" outlineLevel="1" x14ac:dyDescent="0.45">
      <c r="B394" s="63"/>
      <c r="C394" s="24"/>
      <c r="D394" s="77" t="s">
        <v>140</v>
      </c>
      <c r="E394" s="13" t="s">
        <v>623</v>
      </c>
      <c r="F394" s="13"/>
      <c r="G394" s="13"/>
      <c r="H394" s="14"/>
      <c r="I394" s="20" t="s">
        <v>33</v>
      </c>
      <c r="J394" s="15" t="str" cm="1">
        <f t="array" ref="J394">IF(B394&lt;&gt;"",MATCH(TRUE, INDEX((B395:B$9601&lt;&gt;""), 0), 0) - 1,"")</f>
        <v/>
      </c>
      <c r="K394" s="19" t="b">
        <v>0</v>
      </c>
      <c r="L394" s="17"/>
      <c r="M394" s="23"/>
    </row>
    <row r="395" spans="2:13" s="10" customFormat="1" ht="25.2" customHeight="1" outlineLevel="1" x14ac:dyDescent="0.45">
      <c r="B395" s="63"/>
      <c r="C395" s="24"/>
      <c r="D395" s="77" t="s">
        <v>141</v>
      </c>
      <c r="E395" s="13" t="s">
        <v>623</v>
      </c>
      <c r="F395" s="13"/>
      <c r="G395" s="13"/>
      <c r="H395" s="14"/>
      <c r="I395" s="20" t="s">
        <v>33</v>
      </c>
      <c r="J395" s="15" t="str" cm="1">
        <f t="array" ref="J395">IF(B395&lt;&gt;"",MATCH(TRUE, INDEX((B396:B$9601&lt;&gt;""), 0), 0) - 1,"")</f>
        <v/>
      </c>
      <c r="K395" s="19" t="b">
        <v>0</v>
      </c>
      <c r="L395" s="17"/>
      <c r="M395" s="23"/>
    </row>
    <row r="396" spans="2:13" s="10" customFormat="1" ht="25.2" customHeight="1" outlineLevel="1" x14ac:dyDescent="0.45">
      <c r="B396" s="63"/>
      <c r="C396" s="24"/>
      <c r="D396" s="77" t="s">
        <v>142</v>
      </c>
      <c r="E396" s="13" t="s">
        <v>623</v>
      </c>
      <c r="F396" s="13"/>
      <c r="G396" s="13"/>
      <c r="H396" s="14"/>
      <c r="I396" s="20" t="s">
        <v>33</v>
      </c>
      <c r="J396" s="15" t="str" cm="1">
        <f t="array" ref="J396">IF(B396&lt;&gt;"",MATCH(TRUE, INDEX((B397:B$9601&lt;&gt;""), 0), 0) - 1,"")</f>
        <v/>
      </c>
      <c r="K396" s="19" t="b">
        <v>0</v>
      </c>
      <c r="L396" s="17"/>
      <c r="M396" s="23"/>
    </row>
    <row r="397" spans="2:13" s="10" customFormat="1" ht="25.2" customHeight="1" outlineLevel="1" x14ac:dyDescent="0.45">
      <c r="B397" s="63"/>
      <c r="C397" s="12"/>
      <c r="D397" s="77" t="s">
        <v>143</v>
      </c>
      <c r="E397" s="13" t="s">
        <v>623</v>
      </c>
      <c r="F397" s="13"/>
      <c r="G397" s="13"/>
      <c r="H397" s="14"/>
      <c r="I397" s="20" t="s">
        <v>33</v>
      </c>
      <c r="J397" s="15" t="str" cm="1">
        <f t="array" ref="J397">IF(B397&lt;&gt;"",MATCH(TRUE, INDEX((B398:B$9601&lt;&gt;""), 0), 0) - 1,"")</f>
        <v/>
      </c>
      <c r="K397" s="19" t="b">
        <v>0</v>
      </c>
      <c r="L397" s="17"/>
      <c r="M397" s="18"/>
    </row>
    <row r="398" spans="2:13" s="10" customFormat="1" ht="25.2" customHeight="1" outlineLevel="1" x14ac:dyDescent="0.45">
      <c r="B398" s="63"/>
      <c r="C398" s="12"/>
      <c r="D398" s="77" t="s">
        <v>144</v>
      </c>
      <c r="E398" s="13" t="s">
        <v>623</v>
      </c>
      <c r="F398" s="13"/>
      <c r="G398" s="13"/>
      <c r="H398" s="14"/>
      <c r="I398" s="20" t="s">
        <v>33</v>
      </c>
      <c r="J398" s="15" t="str" cm="1">
        <f t="array" ref="J398">IF(B398&lt;&gt;"",MATCH(TRUE, INDEX((B399:B$9601&lt;&gt;""), 0), 0) - 1,"")</f>
        <v/>
      </c>
      <c r="K398" s="19" t="b">
        <v>0</v>
      </c>
      <c r="L398" s="17"/>
      <c r="M398" s="18"/>
    </row>
    <row r="399" spans="2:13" s="10" customFormat="1" ht="25.2" customHeight="1" outlineLevel="1" x14ac:dyDescent="0.45">
      <c r="B399" s="63"/>
      <c r="C399" s="12"/>
      <c r="D399" s="77" t="s">
        <v>145</v>
      </c>
      <c r="E399" s="13" t="s">
        <v>623</v>
      </c>
      <c r="F399" s="13"/>
      <c r="G399" s="13"/>
      <c r="H399" s="14"/>
      <c r="I399" s="20" t="s">
        <v>33</v>
      </c>
      <c r="J399" s="15" t="str" cm="1">
        <f t="array" ref="J399">IF(B399&lt;&gt;"",MATCH(TRUE, INDEX((B400:B$9601&lt;&gt;""), 0), 0) - 1,"")</f>
        <v/>
      </c>
      <c r="K399" s="19" t="b">
        <v>0</v>
      </c>
      <c r="L399" s="17"/>
      <c r="M399" s="18"/>
    </row>
    <row r="400" spans="2:13" s="10" customFormat="1" ht="25.2" customHeight="1" outlineLevel="1" x14ac:dyDescent="0.45">
      <c r="B400" s="63"/>
      <c r="C400" s="12"/>
      <c r="D400" s="77" t="s">
        <v>146</v>
      </c>
      <c r="E400" s="13" t="s">
        <v>623</v>
      </c>
      <c r="F400" s="13"/>
      <c r="G400" s="13"/>
      <c r="H400" s="14"/>
      <c r="I400" s="20" t="s">
        <v>33</v>
      </c>
      <c r="J400" s="15" t="str" cm="1">
        <f t="array" ref="J400">IF(B400&lt;&gt;"",MATCH(TRUE, INDEX((B401:B$9601&lt;&gt;""), 0), 0) - 1,"")</f>
        <v/>
      </c>
      <c r="K400" s="19" t="b">
        <v>0</v>
      </c>
      <c r="L400" s="17"/>
      <c r="M400" s="18"/>
    </row>
    <row r="401" spans="2:13" s="10" customFormat="1" ht="25.2" customHeight="1" outlineLevel="1" x14ac:dyDescent="0.45">
      <c r="B401" s="63"/>
      <c r="C401" s="24"/>
      <c r="D401" s="77" t="s">
        <v>147</v>
      </c>
      <c r="E401" s="13" t="s">
        <v>623</v>
      </c>
      <c r="F401" s="13"/>
      <c r="G401" s="13"/>
      <c r="H401" s="14"/>
      <c r="I401" s="20" t="s">
        <v>33</v>
      </c>
      <c r="J401" s="15" t="str" cm="1">
        <f t="array" ref="J401">IF(B401&lt;&gt;"",MATCH(TRUE, INDEX((B402:B$9601&lt;&gt;""), 0), 0) - 1,"")</f>
        <v/>
      </c>
      <c r="K401" s="19" t="b">
        <v>0</v>
      </c>
      <c r="L401" s="17"/>
      <c r="M401" s="23"/>
    </row>
    <row r="402" spans="2:13" s="10" customFormat="1" ht="25.2" customHeight="1" outlineLevel="1" x14ac:dyDescent="0.45">
      <c r="B402" s="63"/>
      <c r="C402" s="24"/>
      <c r="D402" s="77" t="s">
        <v>109</v>
      </c>
      <c r="E402" s="13" t="s">
        <v>623</v>
      </c>
      <c r="F402" s="13"/>
      <c r="G402" s="13"/>
      <c r="H402" s="14"/>
      <c r="I402" s="20" t="s">
        <v>33</v>
      </c>
      <c r="J402" s="15" t="str" cm="1">
        <f t="array" ref="J402">IF(B402&lt;&gt;"",MATCH(TRUE, INDEX((B403:B$9601&lt;&gt;""), 0), 0) - 1,"")</f>
        <v/>
      </c>
      <c r="K402" s="19" t="b">
        <v>0</v>
      </c>
      <c r="L402" s="17"/>
      <c r="M402" s="23"/>
    </row>
    <row r="403" spans="2:13" s="10" customFormat="1" ht="25.2" customHeight="1" outlineLevel="1" x14ac:dyDescent="0.45">
      <c r="B403" s="63"/>
      <c r="C403" s="24"/>
      <c r="D403" s="77" t="s">
        <v>110</v>
      </c>
      <c r="E403" s="13" t="s">
        <v>623</v>
      </c>
      <c r="F403" s="13"/>
      <c r="G403" s="13"/>
      <c r="H403" s="14"/>
      <c r="I403" s="20" t="s">
        <v>33</v>
      </c>
      <c r="J403" s="15" t="str" cm="1">
        <f t="array" ref="J403">IF(B403&lt;&gt;"",MATCH(TRUE, INDEX((B404:B$9601&lt;&gt;""), 0), 0) - 1,"")</f>
        <v/>
      </c>
      <c r="K403" s="19" t="b">
        <v>0</v>
      </c>
      <c r="L403" s="17"/>
      <c r="M403" s="23"/>
    </row>
    <row r="404" spans="2:13" s="10" customFormat="1" ht="25.2" customHeight="1" outlineLevel="1" x14ac:dyDescent="0.45">
      <c r="B404" s="63"/>
      <c r="C404" s="24"/>
      <c r="D404" s="77" t="s">
        <v>111</v>
      </c>
      <c r="E404" s="13" t="s">
        <v>623</v>
      </c>
      <c r="F404" s="13"/>
      <c r="G404" s="13"/>
      <c r="H404" s="14"/>
      <c r="I404" s="20" t="s">
        <v>33</v>
      </c>
      <c r="J404" s="15" t="str" cm="1">
        <f t="array" ref="J404">IF(B404&lt;&gt;"",MATCH(TRUE, INDEX((B405:B$9601&lt;&gt;""), 0), 0) - 1,"")</f>
        <v/>
      </c>
      <c r="K404" s="19" t="b">
        <v>0</v>
      </c>
      <c r="L404" s="17"/>
      <c r="M404" s="23"/>
    </row>
    <row r="405" spans="2:13" s="10" customFormat="1" ht="25.2" customHeight="1" outlineLevel="1" x14ac:dyDescent="0.45">
      <c r="B405" s="63"/>
      <c r="C405" s="24"/>
      <c r="D405" s="77" t="s">
        <v>112</v>
      </c>
      <c r="E405" s="13" t="s">
        <v>623</v>
      </c>
      <c r="F405" s="13"/>
      <c r="G405" s="13"/>
      <c r="H405" s="14"/>
      <c r="I405" s="20" t="s">
        <v>33</v>
      </c>
      <c r="J405" s="15" t="str" cm="1">
        <f t="array" ref="J405">IF(B405&lt;&gt;"",MATCH(TRUE, INDEX((B406:B$9601&lt;&gt;""), 0), 0) - 1,"")</f>
        <v/>
      </c>
      <c r="K405" s="19" t="b">
        <v>0</v>
      </c>
      <c r="L405" s="17"/>
      <c r="M405" s="23"/>
    </row>
    <row r="406" spans="2:13" s="10" customFormat="1" ht="25.2" customHeight="1" outlineLevel="1" x14ac:dyDescent="0.45">
      <c r="B406" s="63"/>
      <c r="C406" s="24"/>
      <c r="D406" s="77" t="s">
        <v>113</v>
      </c>
      <c r="E406" s="13" t="s">
        <v>623</v>
      </c>
      <c r="F406" s="13"/>
      <c r="G406" s="13"/>
      <c r="H406" s="14"/>
      <c r="I406" s="20" t="s">
        <v>33</v>
      </c>
      <c r="J406" s="15" t="str" cm="1">
        <f t="array" ref="J406">IF(B406&lt;&gt;"",MATCH(TRUE, INDEX((B407:B$9601&lt;&gt;""), 0), 0) - 1,"")</f>
        <v/>
      </c>
      <c r="K406" s="19" t="b">
        <v>0</v>
      </c>
      <c r="L406" s="17"/>
      <c r="M406" s="23"/>
    </row>
    <row r="407" spans="2:13" s="10" customFormat="1" ht="25.2" customHeight="1" outlineLevel="1" x14ac:dyDescent="0.45">
      <c r="B407" s="63"/>
      <c r="C407" s="12"/>
      <c r="D407" s="77" t="s">
        <v>148</v>
      </c>
      <c r="E407" s="13" t="s">
        <v>623</v>
      </c>
      <c r="F407" s="13"/>
      <c r="G407" s="13"/>
      <c r="H407" s="14"/>
      <c r="I407" s="20" t="s">
        <v>33</v>
      </c>
      <c r="J407" s="15" t="str" cm="1">
        <f t="array" ref="J407">IF(B407&lt;&gt;"",MATCH(TRUE, INDEX((B408:B$9601&lt;&gt;""), 0), 0) - 1,"")</f>
        <v/>
      </c>
      <c r="K407" s="19" t="b">
        <v>0</v>
      </c>
      <c r="L407" s="17"/>
      <c r="M407" s="18"/>
    </row>
    <row r="408" spans="2:13" s="10" customFormat="1" ht="25.2" customHeight="1" x14ac:dyDescent="0.45">
      <c r="B408" s="63">
        <v>31</v>
      </c>
      <c r="C408" s="74" t="s">
        <v>467</v>
      </c>
      <c r="D408" s="22" t="s">
        <v>387</v>
      </c>
      <c r="E408" s="13" t="s">
        <v>623</v>
      </c>
      <c r="F408" s="13"/>
      <c r="G408" s="13"/>
      <c r="H408" s="14" t="str">
        <f>IF(K408=100, "FINISH", IF(K408&gt;0, "IN PROGRESS", IF(K408=0, "SCHED-OK", "")))</f>
        <v>SCHED-OK</v>
      </c>
      <c r="I408" s="20" t="s">
        <v>40</v>
      </c>
      <c r="J408" s="15" cm="1">
        <f t="array" ref="J408">IF(B408&lt;&gt;"",MATCH(TRUE, INDEX((B409:B$9601&lt;&gt;""), 0), 0) - 1,"")</f>
        <v>24</v>
      </c>
      <c r="K408" s="16">
        <f>IF(J408&gt;0, COUNTIF(K409:INDEX(K409:K$9577, J408), TRUE)/J408*100, "")</f>
        <v>0</v>
      </c>
      <c r="L408" s="17" t="s">
        <v>20</v>
      </c>
      <c r="M408" s="18"/>
    </row>
    <row r="409" spans="2:13" s="10" customFormat="1" ht="25.2" customHeight="1" outlineLevel="1" x14ac:dyDescent="0.45">
      <c r="B409" s="63"/>
      <c r="C409" s="24"/>
      <c r="D409" s="22" t="s">
        <v>149</v>
      </c>
      <c r="E409" s="13" t="s">
        <v>623</v>
      </c>
      <c r="F409" s="13"/>
      <c r="G409" s="13"/>
      <c r="H409" s="14"/>
      <c r="I409" s="20" t="s">
        <v>33</v>
      </c>
      <c r="J409" s="15" t="str" cm="1">
        <f t="array" ref="J409">IF(B409&lt;&gt;"",MATCH(TRUE, INDEX((B410:B$9601&lt;&gt;""), 0), 0) - 1,"")</f>
        <v/>
      </c>
      <c r="K409" s="19" t="b">
        <v>0</v>
      </c>
      <c r="L409" s="17"/>
      <c r="M409" s="23"/>
    </row>
    <row r="410" spans="2:13" s="10" customFormat="1" ht="25.2" customHeight="1" outlineLevel="1" x14ac:dyDescent="0.45">
      <c r="B410" s="63"/>
      <c r="C410" s="24"/>
      <c r="D410" s="22" t="s">
        <v>27</v>
      </c>
      <c r="E410" s="13" t="s">
        <v>623</v>
      </c>
      <c r="F410" s="13"/>
      <c r="G410" s="13"/>
      <c r="H410" s="14"/>
      <c r="I410" s="20" t="s">
        <v>33</v>
      </c>
      <c r="J410" s="15" t="str" cm="1">
        <f t="array" ref="J410">IF(B410&lt;&gt;"",MATCH(TRUE, INDEX((B411:B$9601&lt;&gt;""), 0), 0) - 1,"")</f>
        <v/>
      </c>
      <c r="K410" s="19" t="b">
        <v>0</v>
      </c>
      <c r="L410" s="17"/>
      <c r="M410" s="23"/>
    </row>
    <row r="411" spans="2:13" s="10" customFormat="1" ht="25.2" customHeight="1" outlineLevel="1" x14ac:dyDescent="0.45">
      <c r="B411" s="63"/>
      <c r="C411" s="24"/>
      <c r="D411" s="22" t="s">
        <v>150</v>
      </c>
      <c r="E411" s="13" t="s">
        <v>623</v>
      </c>
      <c r="F411" s="13"/>
      <c r="G411" s="13"/>
      <c r="H411" s="14"/>
      <c r="I411" s="20" t="s">
        <v>33</v>
      </c>
      <c r="J411" s="15" t="str" cm="1">
        <f t="array" ref="J411">IF(B411&lt;&gt;"",MATCH(TRUE, INDEX((B412:B$9601&lt;&gt;""), 0), 0) - 1,"")</f>
        <v/>
      </c>
      <c r="K411" s="19" t="b">
        <v>0</v>
      </c>
      <c r="L411" s="17"/>
      <c r="M411" s="23"/>
    </row>
    <row r="412" spans="2:13" s="10" customFormat="1" ht="25.2" customHeight="1" outlineLevel="1" x14ac:dyDescent="0.45">
      <c r="B412" s="63"/>
      <c r="C412" s="24"/>
      <c r="D412" s="22" t="s">
        <v>151</v>
      </c>
      <c r="E412" s="13" t="s">
        <v>623</v>
      </c>
      <c r="F412" s="13"/>
      <c r="G412" s="13"/>
      <c r="H412" s="14"/>
      <c r="I412" s="20" t="s">
        <v>33</v>
      </c>
      <c r="J412" s="15" t="str" cm="1">
        <f t="array" ref="J412">IF(B412&lt;&gt;"",MATCH(TRUE, INDEX((B413:B$9601&lt;&gt;""), 0), 0) - 1,"")</f>
        <v/>
      </c>
      <c r="K412" s="19" t="b">
        <v>0</v>
      </c>
      <c r="L412" s="17"/>
      <c r="M412" s="23"/>
    </row>
    <row r="413" spans="2:13" s="10" customFormat="1" ht="25.2" customHeight="1" outlineLevel="1" x14ac:dyDescent="0.45">
      <c r="B413" s="63"/>
      <c r="C413" s="24"/>
      <c r="D413" s="22" t="s">
        <v>152</v>
      </c>
      <c r="E413" s="13" t="s">
        <v>623</v>
      </c>
      <c r="F413" s="13"/>
      <c r="G413" s="13"/>
      <c r="H413" s="14"/>
      <c r="I413" s="20" t="s">
        <v>33</v>
      </c>
      <c r="J413" s="15" t="str" cm="1">
        <f t="array" ref="J413">IF(B413&lt;&gt;"",MATCH(TRUE, INDEX((B414:B$9601&lt;&gt;""), 0), 0) - 1,"")</f>
        <v/>
      </c>
      <c r="K413" s="19" t="b">
        <v>0</v>
      </c>
      <c r="L413" s="17"/>
      <c r="M413" s="23"/>
    </row>
    <row r="414" spans="2:13" s="10" customFormat="1" ht="25.2" customHeight="1" outlineLevel="1" x14ac:dyDescent="0.45">
      <c r="B414" s="63"/>
      <c r="C414" s="24"/>
      <c r="D414" s="22" t="s">
        <v>153</v>
      </c>
      <c r="E414" s="13" t="s">
        <v>623</v>
      </c>
      <c r="F414" s="13"/>
      <c r="G414" s="13"/>
      <c r="H414" s="14"/>
      <c r="I414" s="20" t="s">
        <v>33</v>
      </c>
      <c r="J414" s="15" t="str" cm="1">
        <f t="array" ref="J414">IF(B414&lt;&gt;"",MATCH(TRUE, INDEX((B415:B$9601&lt;&gt;""), 0), 0) - 1,"")</f>
        <v/>
      </c>
      <c r="K414" s="19" t="b">
        <v>0</v>
      </c>
      <c r="L414" s="17"/>
      <c r="M414" s="23"/>
    </row>
    <row r="415" spans="2:13" s="10" customFormat="1" ht="25.2" customHeight="1" outlineLevel="1" x14ac:dyDescent="0.45">
      <c r="B415" s="63"/>
      <c r="C415" s="24"/>
      <c r="D415" s="22" t="s">
        <v>154</v>
      </c>
      <c r="E415" s="13" t="s">
        <v>623</v>
      </c>
      <c r="F415" s="13"/>
      <c r="G415" s="13"/>
      <c r="H415" s="14"/>
      <c r="I415" s="20" t="s">
        <v>33</v>
      </c>
      <c r="J415" s="15" t="str" cm="1">
        <f t="array" ref="J415">IF(B415&lt;&gt;"",MATCH(TRUE, INDEX((B416:B$9601&lt;&gt;""), 0), 0) - 1,"")</f>
        <v/>
      </c>
      <c r="K415" s="19" t="b">
        <v>0</v>
      </c>
      <c r="L415" s="17"/>
      <c r="M415" s="23"/>
    </row>
    <row r="416" spans="2:13" s="10" customFormat="1" ht="25.2" customHeight="1" outlineLevel="1" x14ac:dyDescent="0.45">
      <c r="B416" s="63"/>
      <c r="C416" s="24"/>
      <c r="D416" s="22" t="s">
        <v>155</v>
      </c>
      <c r="E416" s="13" t="s">
        <v>623</v>
      </c>
      <c r="F416" s="13"/>
      <c r="G416" s="13"/>
      <c r="H416" s="14"/>
      <c r="I416" s="20" t="s">
        <v>33</v>
      </c>
      <c r="J416" s="15" t="str" cm="1">
        <f t="array" ref="J416">IF(B416&lt;&gt;"",MATCH(TRUE, INDEX((B417:B$9601&lt;&gt;""), 0), 0) - 1,"")</f>
        <v/>
      </c>
      <c r="K416" s="19" t="b">
        <v>0</v>
      </c>
      <c r="L416" s="17"/>
      <c r="M416" s="23"/>
    </row>
    <row r="417" spans="2:13" s="10" customFormat="1" ht="25.2" customHeight="1" outlineLevel="1" x14ac:dyDescent="0.45">
      <c r="B417" s="63"/>
      <c r="C417" s="24"/>
      <c r="D417" s="22" t="s">
        <v>156</v>
      </c>
      <c r="E417" s="13" t="s">
        <v>623</v>
      </c>
      <c r="F417" s="13"/>
      <c r="G417" s="13"/>
      <c r="H417" s="14"/>
      <c r="I417" s="20" t="s">
        <v>33</v>
      </c>
      <c r="J417" s="15" t="str" cm="1">
        <f t="array" ref="J417">IF(B417&lt;&gt;"",MATCH(TRUE, INDEX((B418:B$9601&lt;&gt;""), 0), 0) - 1,"")</f>
        <v/>
      </c>
      <c r="K417" s="19" t="b">
        <v>0</v>
      </c>
      <c r="L417" s="17"/>
      <c r="M417" s="23"/>
    </row>
    <row r="418" spans="2:13" s="10" customFormat="1" ht="25.2" customHeight="1" outlineLevel="1" x14ac:dyDescent="0.45">
      <c r="B418" s="63"/>
      <c r="C418" s="24"/>
      <c r="D418" s="22" t="s">
        <v>157</v>
      </c>
      <c r="E418" s="13" t="s">
        <v>623</v>
      </c>
      <c r="F418" s="13"/>
      <c r="G418" s="13"/>
      <c r="H418" s="14"/>
      <c r="I418" s="20" t="s">
        <v>33</v>
      </c>
      <c r="J418" s="15" t="str" cm="1">
        <f t="array" ref="J418">IF(B418&lt;&gt;"",MATCH(TRUE, INDEX((B419:B$9601&lt;&gt;""), 0), 0) - 1,"")</f>
        <v/>
      </c>
      <c r="K418" s="19" t="b">
        <v>0</v>
      </c>
      <c r="L418" s="17"/>
      <c r="M418" s="23"/>
    </row>
    <row r="419" spans="2:13" s="10" customFormat="1" ht="25.2" customHeight="1" outlineLevel="1" x14ac:dyDescent="0.45">
      <c r="B419" s="63"/>
      <c r="C419" s="24"/>
      <c r="D419" s="22" t="s">
        <v>158</v>
      </c>
      <c r="E419" s="13" t="s">
        <v>623</v>
      </c>
      <c r="F419" s="13"/>
      <c r="G419" s="13"/>
      <c r="H419" s="14"/>
      <c r="I419" s="20" t="s">
        <v>33</v>
      </c>
      <c r="J419" s="15" t="str" cm="1">
        <f t="array" ref="J419">IF(B419&lt;&gt;"",MATCH(TRUE, INDEX((B420:B$9601&lt;&gt;""), 0), 0) - 1,"")</f>
        <v/>
      </c>
      <c r="K419" s="19" t="b">
        <v>0</v>
      </c>
      <c r="L419" s="17"/>
      <c r="M419" s="23"/>
    </row>
    <row r="420" spans="2:13" s="10" customFormat="1" ht="25.2" customHeight="1" outlineLevel="1" x14ac:dyDescent="0.45">
      <c r="B420" s="63"/>
      <c r="C420" s="24"/>
      <c r="D420" s="22" t="s">
        <v>159</v>
      </c>
      <c r="E420" s="13" t="s">
        <v>623</v>
      </c>
      <c r="F420" s="13"/>
      <c r="G420" s="13"/>
      <c r="H420" s="14"/>
      <c r="I420" s="20" t="s">
        <v>33</v>
      </c>
      <c r="J420" s="15" t="str" cm="1">
        <f t="array" ref="J420">IF(B420&lt;&gt;"",MATCH(TRUE, INDEX((B421:B$9601&lt;&gt;""), 0), 0) - 1,"")</f>
        <v/>
      </c>
      <c r="K420" s="19" t="b">
        <v>0</v>
      </c>
      <c r="L420" s="17"/>
      <c r="M420" s="23"/>
    </row>
    <row r="421" spans="2:13" s="10" customFormat="1" ht="25.2" customHeight="1" outlineLevel="1" x14ac:dyDescent="0.45">
      <c r="B421" s="63"/>
      <c r="C421" s="24"/>
      <c r="D421" s="22" t="s">
        <v>142</v>
      </c>
      <c r="E421" s="13" t="s">
        <v>623</v>
      </c>
      <c r="F421" s="13"/>
      <c r="G421" s="13"/>
      <c r="H421" s="14"/>
      <c r="I421" s="20" t="s">
        <v>33</v>
      </c>
      <c r="J421" s="15" t="str" cm="1">
        <f t="array" ref="J421">IF(B421&lt;&gt;"",MATCH(TRUE, INDEX((B422:B$9601&lt;&gt;""), 0), 0) - 1,"")</f>
        <v/>
      </c>
      <c r="K421" s="19" t="b">
        <v>0</v>
      </c>
      <c r="L421" s="17"/>
      <c r="M421" s="23"/>
    </row>
    <row r="422" spans="2:13" s="10" customFormat="1" ht="25.2" customHeight="1" outlineLevel="1" x14ac:dyDescent="0.45">
      <c r="B422" s="63"/>
      <c r="C422" s="24"/>
      <c r="D422" s="22" t="s">
        <v>143</v>
      </c>
      <c r="E422" s="13" t="s">
        <v>623</v>
      </c>
      <c r="F422" s="13"/>
      <c r="G422" s="13"/>
      <c r="H422" s="14"/>
      <c r="I422" s="20" t="s">
        <v>33</v>
      </c>
      <c r="J422" s="15" t="str" cm="1">
        <f t="array" ref="J422">IF(B422&lt;&gt;"",MATCH(TRUE, INDEX((B423:B$9601&lt;&gt;""), 0), 0) - 1,"")</f>
        <v/>
      </c>
      <c r="K422" s="19" t="b">
        <v>0</v>
      </c>
      <c r="L422" s="17"/>
      <c r="M422" s="23"/>
    </row>
    <row r="423" spans="2:13" s="10" customFormat="1" ht="25.2" customHeight="1" outlineLevel="1" x14ac:dyDescent="0.45">
      <c r="B423" s="63"/>
      <c r="C423" s="24"/>
      <c r="D423" s="22" t="s">
        <v>144</v>
      </c>
      <c r="E423" s="13" t="s">
        <v>623</v>
      </c>
      <c r="F423" s="13"/>
      <c r="G423" s="13"/>
      <c r="H423" s="14"/>
      <c r="I423" s="20" t="s">
        <v>33</v>
      </c>
      <c r="J423" s="15" t="str" cm="1">
        <f t="array" ref="J423">IF(B423&lt;&gt;"",MATCH(TRUE, INDEX((B424:B$9601&lt;&gt;""), 0), 0) - 1,"")</f>
        <v/>
      </c>
      <c r="K423" s="19" t="b">
        <v>0</v>
      </c>
      <c r="L423" s="17"/>
      <c r="M423" s="23"/>
    </row>
    <row r="424" spans="2:13" s="10" customFormat="1" ht="25.2" customHeight="1" outlineLevel="1" x14ac:dyDescent="0.45">
      <c r="B424" s="63"/>
      <c r="C424" s="24"/>
      <c r="D424" s="22" t="s">
        <v>145</v>
      </c>
      <c r="E424" s="13" t="s">
        <v>623</v>
      </c>
      <c r="F424" s="13"/>
      <c r="G424" s="13"/>
      <c r="H424" s="14"/>
      <c r="I424" s="20" t="s">
        <v>33</v>
      </c>
      <c r="J424" s="15" t="str" cm="1">
        <f t="array" ref="J424">IF(B424&lt;&gt;"",MATCH(TRUE, INDEX((B425:B$9601&lt;&gt;""), 0), 0) - 1,"")</f>
        <v/>
      </c>
      <c r="K424" s="19" t="b">
        <v>0</v>
      </c>
      <c r="L424" s="17"/>
      <c r="M424" s="23"/>
    </row>
    <row r="425" spans="2:13" s="10" customFormat="1" ht="25.2" customHeight="1" outlineLevel="1" x14ac:dyDescent="0.45">
      <c r="B425" s="63"/>
      <c r="C425" s="24"/>
      <c r="D425" s="22" t="s">
        <v>160</v>
      </c>
      <c r="E425" s="13" t="s">
        <v>623</v>
      </c>
      <c r="F425" s="13"/>
      <c r="G425" s="13"/>
      <c r="H425" s="14"/>
      <c r="I425" s="20" t="s">
        <v>33</v>
      </c>
      <c r="J425" s="15" t="str" cm="1">
        <f t="array" ref="J425">IF(B425&lt;&gt;"",MATCH(TRUE, INDEX((B426:B$9601&lt;&gt;""), 0), 0) - 1,"")</f>
        <v/>
      </c>
      <c r="K425" s="19" t="b">
        <v>0</v>
      </c>
      <c r="L425" s="17"/>
      <c r="M425" s="23"/>
    </row>
    <row r="426" spans="2:13" s="10" customFormat="1" ht="25.2" customHeight="1" outlineLevel="1" x14ac:dyDescent="0.45">
      <c r="B426" s="63"/>
      <c r="C426" s="24"/>
      <c r="D426" s="77" t="s">
        <v>108</v>
      </c>
      <c r="E426" s="13" t="s">
        <v>623</v>
      </c>
      <c r="F426" s="13"/>
      <c r="G426" s="13"/>
      <c r="H426" s="14"/>
      <c r="I426" s="20" t="s">
        <v>33</v>
      </c>
      <c r="J426" s="15" t="str" cm="1">
        <f t="array" ref="J426">IF(B426&lt;&gt;"",MATCH(TRUE, INDEX((B427:B$9601&lt;&gt;""), 0), 0) - 1,"")</f>
        <v/>
      </c>
      <c r="K426" s="19" t="b">
        <v>0</v>
      </c>
      <c r="L426" s="17"/>
      <c r="M426" s="23"/>
    </row>
    <row r="427" spans="2:13" s="10" customFormat="1" ht="25.2" customHeight="1" outlineLevel="1" x14ac:dyDescent="0.45">
      <c r="B427" s="63"/>
      <c r="C427" s="24"/>
      <c r="D427" s="77" t="s">
        <v>109</v>
      </c>
      <c r="E427" s="13" t="s">
        <v>623</v>
      </c>
      <c r="F427" s="13"/>
      <c r="G427" s="13"/>
      <c r="H427" s="14"/>
      <c r="I427" s="20" t="s">
        <v>33</v>
      </c>
      <c r="J427" s="15" t="str" cm="1">
        <f t="array" ref="J427">IF(B427&lt;&gt;"",MATCH(TRUE, INDEX((B428:B$9601&lt;&gt;""), 0), 0) - 1,"")</f>
        <v/>
      </c>
      <c r="K427" s="19" t="b">
        <v>0</v>
      </c>
      <c r="L427" s="17"/>
      <c r="M427" s="23"/>
    </row>
    <row r="428" spans="2:13" s="10" customFormat="1" ht="25.2" customHeight="1" outlineLevel="1" x14ac:dyDescent="0.45">
      <c r="B428" s="63"/>
      <c r="C428" s="24"/>
      <c r="D428" s="77" t="s">
        <v>110</v>
      </c>
      <c r="E428" s="13" t="s">
        <v>623</v>
      </c>
      <c r="F428" s="13"/>
      <c r="G428" s="13"/>
      <c r="H428" s="14"/>
      <c r="I428" s="20" t="s">
        <v>33</v>
      </c>
      <c r="J428" s="15" t="str" cm="1">
        <f t="array" ref="J428">IF(B428&lt;&gt;"",MATCH(TRUE, INDEX((B429:B$9601&lt;&gt;""), 0), 0) - 1,"")</f>
        <v/>
      </c>
      <c r="K428" s="19" t="b">
        <v>0</v>
      </c>
      <c r="L428" s="17"/>
      <c r="M428" s="23"/>
    </row>
    <row r="429" spans="2:13" s="10" customFormat="1" ht="25.2" customHeight="1" outlineLevel="1" x14ac:dyDescent="0.45">
      <c r="B429" s="63"/>
      <c r="C429" s="24"/>
      <c r="D429" s="77" t="s">
        <v>111</v>
      </c>
      <c r="E429" s="13" t="s">
        <v>623</v>
      </c>
      <c r="F429" s="13"/>
      <c r="G429" s="13"/>
      <c r="H429" s="14"/>
      <c r="I429" s="20" t="s">
        <v>33</v>
      </c>
      <c r="J429" s="15" t="str" cm="1">
        <f t="array" ref="J429">IF(B429&lt;&gt;"",MATCH(TRUE, INDEX((B430:B$9601&lt;&gt;""), 0), 0) - 1,"")</f>
        <v/>
      </c>
      <c r="K429" s="19" t="b">
        <v>0</v>
      </c>
      <c r="L429" s="17"/>
      <c r="M429" s="23"/>
    </row>
    <row r="430" spans="2:13" s="10" customFormat="1" ht="25.2" customHeight="1" outlineLevel="1" x14ac:dyDescent="0.45">
      <c r="B430" s="63"/>
      <c r="C430" s="24"/>
      <c r="D430" s="77" t="s">
        <v>112</v>
      </c>
      <c r="E430" s="13" t="s">
        <v>623</v>
      </c>
      <c r="F430" s="13"/>
      <c r="G430" s="13"/>
      <c r="H430" s="14"/>
      <c r="I430" s="20" t="s">
        <v>33</v>
      </c>
      <c r="J430" s="15" t="str" cm="1">
        <f t="array" ref="J430">IF(B430&lt;&gt;"",MATCH(TRUE, INDEX((B431:B$9601&lt;&gt;""), 0), 0) - 1,"")</f>
        <v/>
      </c>
      <c r="K430" s="19" t="b">
        <v>0</v>
      </c>
      <c r="L430" s="17"/>
      <c r="M430" s="23"/>
    </row>
    <row r="431" spans="2:13" s="10" customFormat="1" ht="25.2" customHeight="1" outlineLevel="1" x14ac:dyDescent="0.45">
      <c r="B431" s="63"/>
      <c r="C431" s="24"/>
      <c r="D431" s="77" t="s">
        <v>113</v>
      </c>
      <c r="E431" s="13" t="s">
        <v>623</v>
      </c>
      <c r="F431" s="13"/>
      <c r="G431" s="13"/>
      <c r="H431" s="14"/>
      <c r="I431" s="20" t="s">
        <v>33</v>
      </c>
      <c r="J431" s="15" t="str" cm="1">
        <f t="array" ref="J431">IF(B431&lt;&gt;"",MATCH(TRUE, INDEX((B432:B$9601&lt;&gt;""), 0), 0) - 1,"")</f>
        <v/>
      </c>
      <c r="K431" s="19" t="b">
        <v>0</v>
      </c>
      <c r="L431" s="17"/>
      <c r="M431" s="23"/>
    </row>
    <row r="432" spans="2:13" s="10" customFormat="1" ht="25.2" customHeight="1" outlineLevel="1" x14ac:dyDescent="0.45">
      <c r="B432" s="63"/>
      <c r="C432" s="24"/>
      <c r="D432" s="22" t="s">
        <v>148</v>
      </c>
      <c r="E432" s="13" t="s">
        <v>623</v>
      </c>
      <c r="F432" s="13"/>
      <c r="G432" s="13"/>
      <c r="H432" s="14"/>
      <c r="I432" s="20" t="s">
        <v>33</v>
      </c>
      <c r="J432" s="15" t="str" cm="1">
        <f t="array" ref="J432">IF(B432&lt;&gt;"",MATCH(TRUE, INDEX((B433:B$9601&lt;&gt;""), 0), 0) - 1,"")</f>
        <v/>
      </c>
      <c r="K432" s="19" t="b">
        <v>0</v>
      </c>
      <c r="L432" s="17"/>
      <c r="M432" s="23"/>
    </row>
    <row r="433" spans="2:13" s="10" customFormat="1" ht="25.2" customHeight="1" x14ac:dyDescent="0.45">
      <c r="B433" s="63">
        <v>32</v>
      </c>
      <c r="C433" s="74" t="s">
        <v>467</v>
      </c>
      <c r="D433" s="22" t="s">
        <v>388</v>
      </c>
      <c r="E433" s="13" t="s">
        <v>623</v>
      </c>
      <c r="F433" s="13"/>
      <c r="G433" s="13"/>
      <c r="H433" s="14" t="str">
        <f>IF(K433=100, "FINISH", IF(K433&gt;0, "IN PROGRESS", IF(K433=0, "SCHED-OK", "")))</f>
        <v>IN PROGRESS</v>
      </c>
      <c r="I433" s="20" t="s">
        <v>40</v>
      </c>
      <c r="J433" s="15" cm="1">
        <f t="array" ref="J433">IF(B433&lt;&gt;"",MATCH(TRUE, INDEX((B434:B$9601&lt;&gt;""), 0), 0) - 1,"")</f>
        <v>15</v>
      </c>
      <c r="K433" s="16">
        <f>IF(J433&gt;0, COUNTIF(K434:INDEX(K434:K$9577, J433), TRUE)/J433*100, "")</f>
        <v>6.666666666666667</v>
      </c>
      <c r="L433" s="17" t="s">
        <v>20</v>
      </c>
      <c r="M433" s="18"/>
    </row>
    <row r="434" spans="2:13" s="10" customFormat="1" ht="25.2" customHeight="1" outlineLevel="1" x14ac:dyDescent="0.45">
      <c r="B434" s="63"/>
      <c r="C434" s="24"/>
      <c r="D434" s="22" t="s">
        <v>389</v>
      </c>
      <c r="E434" s="13" t="s">
        <v>623</v>
      </c>
      <c r="F434" s="13"/>
      <c r="G434" s="13"/>
      <c r="H434" s="14"/>
      <c r="I434" s="20" t="s">
        <v>33</v>
      </c>
      <c r="J434" s="15" t="str" cm="1">
        <f t="array" ref="J434">IF(B434&lt;&gt;"",MATCH(TRUE, INDEX((B435:B$9601&lt;&gt;""), 0), 0) - 1,"")</f>
        <v/>
      </c>
      <c r="K434" s="19" t="b">
        <v>1</v>
      </c>
      <c r="L434" s="17"/>
      <c r="M434" s="23"/>
    </row>
    <row r="435" spans="2:13" s="10" customFormat="1" ht="25.2" customHeight="1" outlineLevel="1" x14ac:dyDescent="0.45">
      <c r="B435" s="63"/>
      <c r="C435" s="24"/>
      <c r="D435" s="22" t="s">
        <v>390</v>
      </c>
      <c r="E435" s="13" t="s">
        <v>623</v>
      </c>
      <c r="F435" s="13"/>
      <c r="G435" s="13"/>
      <c r="H435" s="14"/>
      <c r="I435" s="20" t="s">
        <v>33</v>
      </c>
      <c r="J435" s="15" t="str" cm="1">
        <f t="array" ref="J435">IF(B435&lt;&gt;"",MATCH(TRUE, INDEX((B436:B$9601&lt;&gt;""), 0), 0) - 1,"")</f>
        <v/>
      </c>
      <c r="K435" s="19" t="b">
        <v>0</v>
      </c>
      <c r="L435" s="17"/>
      <c r="M435" s="23"/>
    </row>
    <row r="436" spans="2:13" s="10" customFormat="1" ht="25.2" customHeight="1" outlineLevel="1" x14ac:dyDescent="0.45">
      <c r="B436" s="63"/>
      <c r="C436" s="24"/>
      <c r="D436" s="22" t="s">
        <v>391</v>
      </c>
      <c r="E436" s="13" t="s">
        <v>623</v>
      </c>
      <c r="F436" s="13"/>
      <c r="G436" s="13"/>
      <c r="H436" s="14"/>
      <c r="I436" s="20" t="s">
        <v>33</v>
      </c>
      <c r="J436" s="15" t="str" cm="1">
        <f t="array" ref="J436">IF(B436&lt;&gt;"",MATCH(TRUE, INDEX((B437:B$9601&lt;&gt;""), 0), 0) - 1,"")</f>
        <v/>
      </c>
      <c r="K436" s="19" t="b">
        <v>0</v>
      </c>
      <c r="L436" s="17"/>
      <c r="M436" s="23"/>
    </row>
    <row r="437" spans="2:13" s="10" customFormat="1" ht="25.2" customHeight="1" outlineLevel="1" x14ac:dyDescent="0.45">
      <c r="B437" s="63"/>
      <c r="C437" s="24"/>
      <c r="D437" s="22" t="s">
        <v>392</v>
      </c>
      <c r="E437" s="13" t="s">
        <v>623</v>
      </c>
      <c r="F437" s="13"/>
      <c r="G437" s="13"/>
      <c r="H437" s="14"/>
      <c r="I437" s="20" t="s">
        <v>33</v>
      </c>
      <c r="J437" s="15" t="str" cm="1">
        <f t="array" ref="J437">IF(B437&lt;&gt;"",MATCH(TRUE, INDEX((B438:B$9601&lt;&gt;""), 0), 0) - 1,"")</f>
        <v/>
      </c>
      <c r="K437" s="19" t="b">
        <v>0</v>
      </c>
      <c r="L437" s="17"/>
      <c r="M437" s="23"/>
    </row>
    <row r="438" spans="2:13" s="10" customFormat="1" ht="25.2" customHeight="1" outlineLevel="1" x14ac:dyDescent="0.45">
      <c r="B438" s="63"/>
      <c r="C438" s="24"/>
      <c r="D438" s="22" t="s">
        <v>393</v>
      </c>
      <c r="E438" s="13" t="s">
        <v>623</v>
      </c>
      <c r="F438" s="13"/>
      <c r="G438" s="13"/>
      <c r="H438" s="14"/>
      <c r="I438" s="20" t="s">
        <v>33</v>
      </c>
      <c r="J438" s="15" t="str" cm="1">
        <f t="array" ref="J438">IF(B438&lt;&gt;"",MATCH(TRUE, INDEX((B439:B$9601&lt;&gt;""), 0), 0) - 1,"")</f>
        <v/>
      </c>
      <c r="K438" s="19" t="b">
        <v>0</v>
      </c>
      <c r="L438" s="17"/>
      <c r="M438" s="23"/>
    </row>
    <row r="439" spans="2:13" s="10" customFormat="1" ht="25.2" customHeight="1" outlineLevel="1" x14ac:dyDescent="0.45">
      <c r="B439" s="63"/>
      <c r="C439" s="24"/>
      <c r="D439" s="22" t="s">
        <v>394</v>
      </c>
      <c r="E439" s="13" t="s">
        <v>623</v>
      </c>
      <c r="F439" s="13"/>
      <c r="G439" s="13"/>
      <c r="H439" s="14"/>
      <c r="I439" s="20" t="s">
        <v>33</v>
      </c>
      <c r="J439" s="15" t="str" cm="1">
        <f t="array" ref="J439">IF(B439&lt;&gt;"",MATCH(TRUE, INDEX((B440:B$9601&lt;&gt;""), 0), 0) - 1,"")</f>
        <v/>
      </c>
      <c r="K439" s="19" t="b">
        <v>0</v>
      </c>
      <c r="L439" s="17"/>
      <c r="M439" s="23"/>
    </row>
    <row r="440" spans="2:13" s="10" customFormat="1" ht="25.2" customHeight="1" outlineLevel="1" x14ac:dyDescent="0.45">
      <c r="B440" s="63"/>
      <c r="C440" s="24"/>
      <c r="D440" s="22" t="s">
        <v>395</v>
      </c>
      <c r="E440" s="13" t="s">
        <v>623</v>
      </c>
      <c r="F440" s="13"/>
      <c r="G440" s="13"/>
      <c r="H440" s="14"/>
      <c r="I440" s="20" t="s">
        <v>33</v>
      </c>
      <c r="J440" s="15" t="str" cm="1">
        <f t="array" ref="J440">IF(B440&lt;&gt;"",MATCH(TRUE, INDEX((B441:B$9601&lt;&gt;""), 0), 0) - 1,"")</f>
        <v/>
      </c>
      <c r="K440" s="19" t="b">
        <v>0</v>
      </c>
      <c r="L440" s="17"/>
      <c r="M440" s="23"/>
    </row>
    <row r="441" spans="2:13" s="10" customFormat="1" ht="25.2" customHeight="1" outlineLevel="1" x14ac:dyDescent="0.45">
      <c r="B441" s="63"/>
      <c r="C441" s="24"/>
      <c r="D441" s="22" t="s">
        <v>396</v>
      </c>
      <c r="E441" s="13" t="s">
        <v>623</v>
      </c>
      <c r="F441" s="13"/>
      <c r="G441" s="13"/>
      <c r="H441" s="14"/>
      <c r="I441" s="20" t="s">
        <v>33</v>
      </c>
      <c r="J441" s="15" t="str" cm="1">
        <f t="array" ref="J441">IF(B441&lt;&gt;"",MATCH(TRUE, INDEX((B442:B$9601&lt;&gt;""), 0), 0) - 1,"")</f>
        <v/>
      </c>
      <c r="K441" s="19" t="b">
        <v>0</v>
      </c>
      <c r="L441" s="17"/>
      <c r="M441" s="23"/>
    </row>
    <row r="442" spans="2:13" s="10" customFormat="1" ht="25.2" customHeight="1" outlineLevel="1" x14ac:dyDescent="0.45">
      <c r="B442" s="63"/>
      <c r="C442" s="24"/>
      <c r="D442" s="22" t="s">
        <v>397</v>
      </c>
      <c r="E442" s="13" t="s">
        <v>623</v>
      </c>
      <c r="F442" s="13"/>
      <c r="G442" s="13"/>
      <c r="H442" s="14"/>
      <c r="I442" s="20" t="s">
        <v>33</v>
      </c>
      <c r="J442" s="15" t="str" cm="1">
        <f t="array" ref="J442">IF(B442&lt;&gt;"",MATCH(TRUE, INDEX((B443:B$9601&lt;&gt;""), 0), 0) - 1,"")</f>
        <v/>
      </c>
      <c r="K442" s="19" t="b">
        <v>0</v>
      </c>
      <c r="L442" s="17"/>
      <c r="M442" s="23"/>
    </row>
    <row r="443" spans="2:13" s="10" customFormat="1" ht="25.2" customHeight="1" outlineLevel="1" x14ac:dyDescent="0.45">
      <c r="B443" s="63"/>
      <c r="C443" s="24"/>
      <c r="D443" s="22" t="s">
        <v>398</v>
      </c>
      <c r="E443" s="13" t="s">
        <v>623</v>
      </c>
      <c r="F443" s="13"/>
      <c r="G443" s="13"/>
      <c r="H443" s="14"/>
      <c r="I443" s="20" t="s">
        <v>33</v>
      </c>
      <c r="J443" s="15" t="str" cm="1">
        <f t="array" ref="J443">IF(B443&lt;&gt;"",MATCH(TRUE, INDEX((B444:B$9601&lt;&gt;""), 0), 0) - 1,"")</f>
        <v/>
      </c>
      <c r="K443" s="19" t="b">
        <v>0</v>
      </c>
      <c r="L443" s="17"/>
      <c r="M443" s="23"/>
    </row>
    <row r="444" spans="2:13" s="10" customFormat="1" ht="25.2" customHeight="1" outlineLevel="1" x14ac:dyDescent="0.45">
      <c r="B444" s="63"/>
      <c r="C444" s="24"/>
      <c r="D444" s="22" t="s">
        <v>399</v>
      </c>
      <c r="E444" s="13" t="s">
        <v>623</v>
      </c>
      <c r="F444" s="13"/>
      <c r="G444" s="13"/>
      <c r="H444" s="14"/>
      <c r="I444" s="20" t="s">
        <v>33</v>
      </c>
      <c r="J444" s="15" t="str" cm="1">
        <f t="array" ref="J444">IF(B444&lt;&gt;"",MATCH(TRUE, INDEX((B445:B$9601&lt;&gt;""), 0), 0) - 1,"")</f>
        <v/>
      </c>
      <c r="K444" s="19" t="b">
        <v>0</v>
      </c>
      <c r="L444" s="17"/>
      <c r="M444" s="23"/>
    </row>
    <row r="445" spans="2:13" s="10" customFormat="1" ht="25.2" customHeight="1" outlineLevel="1" x14ac:dyDescent="0.45">
      <c r="B445" s="63"/>
      <c r="C445" s="24"/>
      <c r="D445" s="22" t="s">
        <v>400</v>
      </c>
      <c r="E445" s="13" t="s">
        <v>623</v>
      </c>
      <c r="F445" s="13"/>
      <c r="G445" s="13"/>
      <c r="H445" s="14"/>
      <c r="I445" s="20" t="s">
        <v>33</v>
      </c>
      <c r="J445" s="15" t="str" cm="1">
        <f t="array" ref="J445">IF(B445&lt;&gt;"",MATCH(TRUE, INDEX((B446:B$9601&lt;&gt;""), 0), 0) - 1,"")</f>
        <v/>
      </c>
      <c r="K445" s="19" t="b">
        <v>0</v>
      </c>
      <c r="L445" s="17"/>
      <c r="M445" s="23"/>
    </row>
    <row r="446" spans="2:13" s="10" customFormat="1" ht="25.2" customHeight="1" outlineLevel="1" x14ac:dyDescent="0.45">
      <c r="B446" s="63"/>
      <c r="C446" s="24"/>
      <c r="D446" s="22" t="s">
        <v>401</v>
      </c>
      <c r="E446" s="13" t="s">
        <v>623</v>
      </c>
      <c r="F446" s="13"/>
      <c r="G446" s="13"/>
      <c r="H446" s="14"/>
      <c r="I446" s="20" t="s">
        <v>33</v>
      </c>
      <c r="J446" s="15" t="str" cm="1">
        <f t="array" ref="J446">IF(B446&lt;&gt;"",MATCH(TRUE, INDEX((B448:B$9601&lt;&gt;""), 0), 0) - 1,"")</f>
        <v/>
      </c>
      <c r="K446" s="19" t="b">
        <v>0</v>
      </c>
      <c r="L446" s="17"/>
      <c r="M446" s="23"/>
    </row>
    <row r="447" spans="2:13" s="10" customFormat="1" ht="25.2" customHeight="1" outlineLevel="1" x14ac:dyDescent="0.45">
      <c r="B447" s="63"/>
      <c r="C447" s="24"/>
      <c r="D447" s="22" t="s">
        <v>402</v>
      </c>
      <c r="E447" s="13" t="s">
        <v>623</v>
      </c>
      <c r="F447" s="13"/>
      <c r="G447" s="13"/>
      <c r="H447" s="14"/>
      <c r="I447" s="20" t="s">
        <v>33</v>
      </c>
      <c r="J447" s="15"/>
      <c r="K447" s="19" t="b">
        <v>0</v>
      </c>
      <c r="L447" s="17"/>
      <c r="M447" s="23"/>
    </row>
    <row r="448" spans="2:13" s="10" customFormat="1" ht="25.2" customHeight="1" outlineLevel="1" x14ac:dyDescent="0.45">
      <c r="B448" s="63"/>
      <c r="C448" s="24"/>
      <c r="D448" s="22" t="s">
        <v>403</v>
      </c>
      <c r="E448" s="13" t="s">
        <v>623</v>
      </c>
      <c r="F448" s="13"/>
      <c r="G448" s="13"/>
      <c r="H448" s="14"/>
      <c r="I448" s="20" t="s">
        <v>33</v>
      </c>
      <c r="J448" s="15" t="str" cm="1">
        <f t="array" ref="J448">IF(B448&lt;&gt;"",MATCH(TRUE, INDEX((B449:B$9601&lt;&gt;""), 0), 0) - 1,"")</f>
        <v/>
      </c>
      <c r="K448" s="19" t="b">
        <v>0</v>
      </c>
      <c r="L448" s="17"/>
      <c r="M448" s="23"/>
    </row>
    <row r="449" spans="2:13" s="10" customFormat="1" ht="25.2" customHeight="1" x14ac:dyDescent="0.45">
      <c r="B449" s="63">
        <v>33</v>
      </c>
      <c r="C449" s="74" t="s">
        <v>467</v>
      </c>
      <c r="D449" s="22" t="s">
        <v>404</v>
      </c>
      <c r="E449" s="13" t="s">
        <v>623</v>
      </c>
      <c r="F449" s="13"/>
      <c r="G449" s="13"/>
      <c r="H449" s="14" t="str">
        <f>IF(K449=100, "FINISH", IF(K449&gt;0, "IN PROGRESS", IF(K449=0, "SCHED-OK", "")))</f>
        <v>SCHED-OK</v>
      </c>
      <c r="I449" s="20" t="s">
        <v>19</v>
      </c>
      <c r="J449" s="15" cm="1">
        <f t="array" ref="J449">IF(B449&lt;&gt;"",MATCH(TRUE, INDEX((B450:B$9601&lt;&gt;""), 0), 0) - 1,"")</f>
        <v>10</v>
      </c>
      <c r="K449" s="16">
        <f>IF(J449&gt;0, COUNTIF(K450:INDEX(K450:K$9577, J449), TRUE)/J449*100, "")</f>
        <v>0</v>
      </c>
      <c r="L449" s="17" t="s">
        <v>20</v>
      </c>
      <c r="M449" s="18"/>
    </row>
    <row r="450" spans="2:13" s="10" customFormat="1" ht="25.2" customHeight="1" outlineLevel="1" x14ac:dyDescent="0.45">
      <c r="B450" s="63"/>
      <c r="C450" s="24"/>
      <c r="D450" s="81" t="s">
        <v>405</v>
      </c>
      <c r="E450" s="13" t="s">
        <v>623</v>
      </c>
      <c r="F450" s="13"/>
      <c r="G450" s="13"/>
      <c r="H450" s="14"/>
      <c r="I450" s="20"/>
      <c r="J450" s="15" t="str" cm="1">
        <f t="array" ref="J450">IF(B450&lt;&gt;"",MATCH(TRUE, INDEX((B451:B$9601&lt;&gt;""), 0), 0) - 1,"")</f>
        <v/>
      </c>
      <c r="K450" s="19" t="b">
        <v>0</v>
      </c>
      <c r="L450" s="17"/>
      <c r="M450" s="23"/>
    </row>
    <row r="451" spans="2:13" s="10" customFormat="1" ht="25.2" customHeight="1" outlineLevel="1" x14ac:dyDescent="0.45">
      <c r="B451" s="63"/>
      <c r="C451" s="24"/>
      <c r="D451" s="82" t="s">
        <v>406</v>
      </c>
      <c r="E451" s="13" t="s">
        <v>623</v>
      </c>
      <c r="F451" s="13"/>
      <c r="G451" s="13"/>
      <c r="H451" s="14"/>
      <c r="I451" s="20"/>
      <c r="J451" s="15" t="str" cm="1">
        <f t="array" ref="J451">IF(B451&lt;&gt;"",MATCH(TRUE, INDEX((B452:B$9601&lt;&gt;""), 0), 0) - 1,"")</f>
        <v/>
      </c>
      <c r="K451" s="19" t="b">
        <v>0</v>
      </c>
      <c r="L451" s="17"/>
      <c r="M451" s="23"/>
    </row>
    <row r="452" spans="2:13" s="10" customFormat="1" ht="25.2" customHeight="1" outlineLevel="1" x14ac:dyDescent="0.45">
      <c r="B452" s="63"/>
      <c r="C452" s="24"/>
      <c r="D452" s="82" t="s">
        <v>407</v>
      </c>
      <c r="E452" s="13" t="s">
        <v>623</v>
      </c>
      <c r="F452" s="13"/>
      <c r="G452" s="13"/>
      <c r="H452" s="14"/>
      <c r="I452" s="20"/>
      <c r="J452" s="15" t="str" cm="1">
        <f t="array" ref="J452">IF(B452&lt;&gt;"",MATCH(TRUE, INDEX((B453:B$9601&lt;&gt;""), 0), 0) - 1,"")</f>
        <v/>
      </c>
      <c r="K452" s="19" t="b">
        <v>0</v>
      </c>
      <c r="L452" s="17"/>
      <c r="M452" s="23"/>
    </row>
    <row r="453" spans="2:13" s="10" customFormat="1" ht="25.2" customHeight="1" outlineLevel="1" x14ac:dyDescent="0.45">
      <c r="B453" s="63"/>
      <c r="C453" s="24"/>
      <c r="D453" s="82" t="s">
        <v>408</v>
      </c>
      <c r="E453" s="13" t="s">
        <v>623</v>
      </c>
      <c r="F453" s="13"/>
      <c r="G453" s="13"/>
      <c r="H453" s="14"/>
      <c r="I453" s="20"/>
      <c r="J453" s="15" t="str" cm="1">
        <f t="array" ref="J453">IF(B453&lt;&gt;"",MATCH(TRUE, INDEX((B454:B$9601&lt;&gt;""), 0), 0) - 1,"")</f>
        <v/>
      </c>
      <c r="K453" s="19" t="b">
        <v>0</v>
      </c>
      <c r="L453" s="17"/>
      <c r="M453" s="23"/>
    </row>
    <row r="454" spans="2:13" s="10" customFormat="1" ht="25.2" customHeight="1" outlineLevel="1" x14ac:dyDescent="0.45">
      <c r="B454" s="63"/>
      <c r="C454" s="24"/>
      <c r="D454" s="82" t="s">
        <v>409</v>
      </c>
      <c r="E454" s="13" t="s">
        <v>623</v>
      </c>
      <c r="F454" s="13"/>
      <c r="G454" s="13"/>
      <c r="H454" s="14"/>
      <c r="I454" s="20"/>
      <c r="J454" s="15" t="str" cm="1">
        <f t="array" ref="J454">IF(B454&lt;&gt;"",MATCH(TRUE, INDEX((B455:B$9601&lt;&gt;""), 0), 0) - 1,"")</f>
        <v/>
      </c>
      <c r="K454" s="19" t="b">
        <v>0</v>
      </c>
      <c r="L454" s="17"/>
      <c r="M454" s="23"/>
    </row>
    <row r="455" spans="2:13" s="10" customFormat="1" ht="25.2" customHeight="1" outlineLevel="1" x14ac:dyDescent="0.45">
      <c r="B455" s="63"/>
      <c r="C455" s="24"/>
      <c r="D455" s="82" t="s">
        <v>410</v>
      </c>
      <c r="E455" s="13" t="s">
        <v>623</v>
      </c>
      <c r="F455" s="13"/>
      <c r="G455" s="13"/>
      <c r="H455" s="14"/>
      <c r="I455" s="20"/>
      <c r="J455" s="15" t="str" cm="1">
        <f t="array" ref="J455">IF(B455&lt;&gt;"",MATCH(TRUE, INDEX((B456:B$9601&lt;&gt;""), 0), 0) - 1,"")</f>
        <v/>
      </c>
      <c r="K455" s="19" t="b">
        <v>0</v>
      </c>
      <c r="L455" s="17"/>
      <c r="M455" s="23"/>
    </row>
    <row r="456" spans="2:13" s="10" customFormat="1" ht="25.2" customHeight="1" outlineLevel="1" x14ac:dyDescent="0.45">
      <c r="B456" s="63"/>
      <c r="C456" s="24"/>
      <c r="D456" s="82" t="s">
        <v>161</v>
      </c>
      <c r="E456" s="13" t="s">
        <v>623</v>
      </c>
      <c r="F456" s="13"/>
      <c r="G456" s="13"/>
      <c r="H456" s="14"/>
      <c r="I456" s="20"/>
      <c r="J456" s="15" t="str" cm="1">
        <f t="array" ref="J456">IF(B456&lt;&gt;"",MATCH(TRUE, INDEX((B457:B$9601&lt;&gt;""), 0), 0) - 1,"")</f>
        <v/>
      </c>
      <c r="K456" s="19" t="b">
        <v>0</v>
      </c>
      <c r="L456" s="17"/>
      <c r="M456" s="23"/>
    </row>
    <row r="457" spans="2:13" s="10" customFormat="1" ht="25.2" customHeight="1" outlineLevel="1" x14ac:dyDescent="0.45">
      <c r="B457" s="63"/>
      <c r="C457" s="24"/>
      <c r="D457" s="82" t="s">
        <v>162</v>
      </c>
      <c r="E457" s="13" t="s">
        <v>623</v>
      </c>
      <c r="F457" s="13"/>
      <c r="G457" s="13"/>
      <c r="H457" s="14"/>
      <c r="I457" s="20"/>
      <c r="J457" s="15" t="str" cm="1">
        <f t="array" ref="J457">IF(B457&lt;&gt;"",MATCH(TRUE, INDEX((B458:B$9601&lt;&gt;""), 0), 0) - 1,"")</f>
        <v/>
      </c>
      <c r="K457" s="19" t="b">
        <v>0</v>
      </c>
      <c r="L457" s="17"/>
      <c r="M457" s="23"/>
    </row>
    <row r="458" spans="2:13" s="10" customFormat="1" ht="25.2" customHeight="1" outlineLevel="1" x14ac:dyDescent="0.45">
      <c r="B458" s="63"/>
      <c r="C458" s="24"/>
      <c r="D458" s="82" t="s">
        <v>163</v>
      </c>
      <c r="E458" s="13" t="s">
        <v>623</v>
      </c>
      <c r="F458" s="13"/>
      <c r="G458" s="13"/>
      <c r="H458" s="14"/>
      <c r="I458" s="20"/>
      <c r="J458" s="15" t="str" cm="1">
        <f t="array" ref="J458">IF(B458&lt;&gt;"",MATCH(TRUE, INDEX((B459:B$9601&lt;&gt;""), 0), 0) - 1,"")</f>
        <v/>
      </c>
      <c r="K458" s="19" t="b">
        <v>0</v>
      </c>
      <c r="L458" s="17"/>
      <c r="M458" s="23"/>
    </row>
    <row r="459" spans="2:13" s="10" customFormat="1" ht="25.2" customHeight="1" outlineLevel="1" x14ac:dyDescent="0.45">
      <c r="B459" s="63"/>
      <c r="C459" s="24"/>
      <c r="D459" s="81" t="s">
        <v>164</v>
      </c>
      <c r="E459" s="13" t="s">
        <v>623</v>
      </c>
      <c r="F459" s="13"/>
      <c r="G459" s="13"/>
      <c r="H459" s="14"/>
      <c r="I459" s="20"/>
      <c r="J459" s="15" t="str" cm="1">
        <f t="array" ref="J459">IF(B459&lt;&gt;"",MATCH(TRUE, INDEX((B460:B$9601&lt;&gt;""), 0), 0) - 1,"")</f>
        <v/>
      </c>
      <c r="K459" s="19" t="b">
        <v>0</v>
      </c>
      <c r="L459" s="17"/>
      <c r="M459" s="23"/>
    </row>
    <row r="460" spans="2:13" s="10" customFormat="1" ht="25.2" customHeight="1" x14ac:dyDescent="0.45">
      <c r="B460" s="63">
        <v>34</v>
      </c>
      <c r="C460" s="74" t="s">
        <v>467</v>
      </c>
      <c r="D460" s="22" t="s">
        <v>411</v>
      </c>
      <c r="E460" s="13" t="s">
        <v>623</v>
      </c>
      <c r="F460" s="13"/>
      <c r="G460" s="13"/>
      <c r="H460" s="14" t="str">
        <f>IF(K460=100, "FINISH", IF(K460&gt;0, "IN PROGRESS", IF(K460=0, "SCHED-OK", "")))</f>
        <v>SCHED-OK</v>
      </c>
      <c r="I460" s="20" t="s">
        <v>31</v>
      </c>
      <c r="J460" s="15" cm="1">
        <f t="array" ref="J460">IF(B460&lt;&gt;"",MATCH(TRUE, INDEX((B461:B$9601&lt;&gt;""), 0), 0) - 1,"")</f>
        <v>42</v>
      </c>
      <c r="K460" s="16">
        <f>IF(J460&gt;0, COUNTIF(K461:INDEX(K461:K$9577, J460), TRUE)/J460*100, "")</f>
        <v>0</v>
      </c>
      <c r="L460" s="17" t="s">
        <v>20</v>
      </c>
      <c r="M460" s="18"/>
    </row>
    <row r="461" spans="2:13" s="10" customFormat="1" ht="25.2" customHeight="1" outlineLevel="1" x14ac:dyDescent="0.45">
      <c r="B461" s="63"/>
      <c r="C461" s="12"/>
      <c r="D461" s="22" t="s">
        <v>165</v>
      </c>
      <c r="E461" s="13" t="s">
        <v>623</v>
      </c>
      <c r="F461" s="13"/>
      <c r="G461" s="13"/>
      <c r="H461" s="14"/>
      <c r="I461" s="20"/>
      <c r="J461" s="15" t="str" cm="1">
        <f t="array" ref="J461">IF(B461&lt;&gt;"",MATCH(TRUE, INDEX((B462:B$9601&lt;&gt;""), 0), 0) - 1,"")</f>
        <v/>
      </c>
      <c r="K461" s="19" t="b">
        <v>0</v>
      </c>
      <c r="L461" s="17"/>
      <c r="M461" s="23"/>
    </row>
    <row r="462" spans="2:13" s="10" customFormat="1" ht="25.2" customHeight="1" outlineLevel="1" x14ac:dyDescent="0.45">
      <c r="B462" s="63"/>
      <c r="C462" s="12"/>
      <c r="D462" s="22" t="s">
        <v>166</v>
      </c>
      <c r="E462" s="13" t="s">
        <v>623</v>
      </c>
      <c r="F462" s="13"/>
      <c r="G462" s="13"/>
      <c r="H462" s="14"/>
      <c r="I462" s="20"/>
      <c r="J462" s="15" t="str" cm="1">
        <f t="array" ref="J462">IF(B462&lt;&gt;"",MATCH(TRUE, INDEX((B463:B$9601&lt;&gt;""), 0), 0) - 1,"")</f>
        <v/>
      </c>
      <c r="K462" s="19" t="b">
        <v>0</v>
      </c>
      <c r="L462" s="17"/>
      <c r="M462" s="23"/>
    </row>
    <row r="463" spans="2:13" s="10" customFormat="1" ht="25.2" customHeight="1" outlineLevel="1" x14ac:dyDescent="0.45">
      <c r="B463" s="63"/>
      <c r="C463" s="12"/>
      <c r="D463" s="22" t="s">
        <v>167</v>
      </c>
      <c r="E463" s="13" t="s">
        <v>623</v>
      </c>
      <c r="F463" s="13"/>
      <c r="G463" s="13"/>
      <c r="H463" s="14"/>
      <c r="I463" s="20"/>
      <c r="J463" s="15" t="str" cm="1">
        <f t="array" ref="J463">IF(B463&lt;&gt;"",MATCH(TRUE, INDEX((B464:B$9601&lt;&gt;""), 0), 0) - 1,"")</f>
        <v/>
      </c>
      <c r="K463" s="19" t="b">
        <v>0</v>
      </c>
      <c r="L463" s="17"/>
      <c r="M463" s="23"/>
    </row>
    <row r="464" spans="2:13" s="10" customFormat="1" ht="25.2" customHeight="1" outlineLevel="1" x14ac:dyDescent="0.45">
      <c r="B464" s="63"/>
      <c r="C464" s="12"/>
      <c r="D464" s="22" t="s">
        <v>523</v>
      </c>
      <c r="E464" s="13" t="s">
        <v>623</v>
      </c>
      <c r="F464" s="13"/>
      <c r="G464" s="13"/>
      <c r="H464" s="14"/>
      <c r="I464" s="20"/>
      <c r="J464" s="15" t="str" cm="1">
        <f t="array" ref="J464">IF(B464&lt;&gt;"",MATCH(TRUE, INDEX((B465:B$9601&lt;&gt;""), 0), 0) - 1,"")</f>
        <v/>
      </c>
      <c r="K464" s="19" t="b">
        <v>0</v>
      </c>
      <c r="L464" s="17"/>
      <c r="M464" s="23"/>
    </row>
    <row r="465" spans="2:13" s="10" customFormat="1" ht="25.2" customHeight="1" outlineLevel="1" x14ac:dyDescent="0.45">
      <c r="B465" s="63"/>
      <c r="C465" s="12"/>
      <c r="D465" s="22" t="s">
        <v>412</v>
      </c>
      <c r="E465" s="13" t="s">
        <v>623</v>
      </c>
      <c r="F465" s="13"/>
      <c r="G465" s="13"/>
      <c r="H465" s="14"/>
      <c r="I465" s="20"/>
      <c r="J465" s="15" t="str" cm="1">
        <f t="array" ref="J465">IF(B465&lt;&gt;"",MATCH(TRUE, INDEX((B466:B$9601&lt;&gt;""), 0), 0) - 1,"")</f>
        <v/>
      </c>
      <c r="K465" s="19" t="b">
        <v>0</v>
      </c>
      <c r="L465" s="17"/>
      <c r="M465" s="23"/>
    </row>
    <row r="466" spans="2:13" s="10" customFormat="1" ht="25.2" customHeight="1" outlineLevel="1" x14ac:dyDescent="0.45">
      <c r="B466" s="63"/>
      <c r="C466" s="12"/>
      <c r="D466" s="22" t="s">
        <v>168</v>
      </c>
      <c r="E466" s="13" t="s">
        <v>623</v>
      </c>
      <c r="F466" s="13"/>
      <c r="G466" s="13"/>
      <c r="H466" s="14"/>
      <c r="I466" s="20"/>
      <c r="J466" s="15" t="str" cm="1">
        <f t="array" ref="J466">IF(B466&lt;&gt;"",MATCH(TRUE, INDEX((B467:B$9601&lt;&gt;""), 0), 0) - 1,"")</f>
        <v/>
      </c>
      <c r="K466" s="19" t="b">
        <v>0</v>
      </c>
      <c r="L466" s="17"/>
      <c r="M466" s="23"/>
    </row>
    <row r="467" spans="2:13" s="10" customFormat="1" ht="25.2" customHeight="1" outlineLevel="1" x14ac:dyDescent="0.45">
      <c r="B467" s="63"/>
      <c r="C467" s="12"/>
      <c r="D467" s="22" t="s">
        <v>169</v>
      </c>
      <c r="E467" s="13" t="s">
        <v>623</v>
      </c>
      <c r="F467" s="13"/>
      <c r="G467" s="13"/>
      <c r="H467" s="14"/>
      <c r="I467" s="20"/>
      <c r="J467" s="15" t="str" cm="1">
        <f t="array" ref="J467">IF(B467&lt;&gt;"",MATCH(TRUE, INDEX((B468:B$9601&lt;&gt;""), 0), 0) - 1,"")</f>
        <v/>
      </c>
      <c r="K467" s="19" t="b">
        <v>0</v>
      </c>
      <c r="L467" s="17"/>
      <c r="M467" s="23"/>
    </row>
    <row r="468" spans="2:13" s="10" customFormat="1" ht="25.2" customHeight="1" outlineLevel="1" x14ac:dyDescent="0.45">
      <c r="B468" s="63"/>
      <c r="C468" s="12"/>
      <c r="D468" s="22" t="s">
        <v>170</v>
      </c>
      <c r="E468" s="13" t="s">
        <v>623</v>
      </c>
      <c r="F468" s="13"/>
      <c r="G468" s="13"/>
      <c r="H468" s="14"/>
      <c r="I468" s="20"/>
      <c r="J468" s="15" t="str" cm="1">
        <f t="array" ref="J468">IF(B468&lt;&gt;"",MATCH(TRUE, INDEX((B469:B$9601&lt;&gt;""), 0), 0) - 1,"")</f>
        <v/>
      </c>
      <c r="K468" s="19" t="b">
        <v>0</v>
      </c>
      <c r="L468" s="17"/>
      <c r="M468" s="23"/>
    </row>
    <row r="469" spans="2:13" s="10" customFormat="1" ht="25.2" customHeight="1" outlineLevel="1" x14ac:dyDescent="0.45">
      <c r="B469" s="63"/>
      <c r="C469" s="12"/>
      <c r="D469" s="22" t="s">
        <v>171</v>
      </c>
      <c r="E469" s="13" t="s">
        <v>623</v>
      </c>
      <c r="F469" s="13"/>
      <c r="G469" s="13"/>
      <c r="H469" s="14"/>
      <c r="I469" s="20"/>
      <c r="J469" s="15" t="str" cm="1">
        <f t="array" ref="J469">IF(B469&lt;&gt;"",MATCH(TRUE, INDEX((B470:B$9601&lt;&gt;""), 0), 0) - 1,"")</f>
        <v/>
      </c>
      <c r="K469" s="19" t="b">
        <v>0</v>
      </c>
      <c r="L469" s="17"/>
      <c r="M469" s="23"/>
    </row>
    <row r="470" spans="2:13" s="10" customFormat="1" ht="25.2" customHeight="1" outlineLevel="1" x14ac:dyDescent="0.45">
      <c r="B470" s="63"/>
      <c r="C470" s="12"/>
      <c r="D470" s="22" t="s">
        <v>172</v>
      </c>
      <c r="E470" s="13" t="s">
        <v>623</v>
      </c>
      <c r="F470" s="13"/>
      <c r="G470" s="13"/>
      <c r="H470" s="14"/>
      <c r="I470" s="20"/>
      <c r="J470" s="15" t="str" cm="1">
        <f t="array" ref="J470">IF(B470&lt;&gt;"",MATCH(TRUE, INDEX((B471:B$9601&lt;&gt;""), 0), 0) - 1,"")</f>
        <v/>
      </c>
      <c r="K470" s="19" t="b">
        <v>0</v>
      </c>
      <c r="L470" s="17"/>
      <c r="M470" s="23"/>
    </row>
    <row r="471" spans="2:13" s="10" customFormat="1" ht="25.2" customHeight="1" outlineLevel="1" x14ac:dyDescent="0.45">
      <c r="B471" s="63"/>
      <c r="C471" s="12"/>
      <c r="D471" s="22" t="s">
        <v>413</v>
      </c>
      <c r="E471" s="13" t="s">
        <v>623</v>
      </c>
      <c r="F471" s="13"/>
      <c r="G471" s="13"/>
      <c r="H471" s="14"/>
      <c r="I471" s="20"/>
      <c r="J471" s="15" t="str" cm="1">
        <f t="array" ref="J471">IF(B471&lt;&gt;"",MATCH(TRUE, INDEX((B472:B$9601&lt;&gt;""), 0), 0) - 1,"")</f>
        <v/>
      </c>
      <c r="K471" s="19" t="b">
        <v>0</v>
      </c>
      <c r="L471" s="17"/>
      <c r="M471" s="23"/>
    </row>
    <row r="472" spans="2:13" s="10" customFormat="1" ht="25.2" customHeight="1" outlineLevel="1" x14ac:dyDescent="0.45">
      <c r="B472" s="63"/>
      <c r="C472" s="12"/>
      <c r="D472" s="22" t="s">
        <v>414</v>
      </c>
      <c r="E472" s="13" t="s">
        <v>623</v>
      </c>
      <c r="F472" s="13"/>
      <c r="G472" s="13"/>
      <c r="H472" s="14"/>
      <c r="I472" s="20"/>
      <c r="J472" s="15" t="str" cm="1">
        <f t="array" ref="J472">IF(B472&lt;&gt;"",MATCH(TRUE, INDEX((B473:B$9601&lt;&gt;""), 0), 0) - 1,"")</f>
        <v/>
      </c>
      <c r="K472" s="19" t="b">
        <v>0</v>
      </c>
      <c r="L472" s="17"/>
      <c r="M472" s="23"/>
    </row>
    <row r="473" spans="2:13" s="10" customFormat="1" ht="25.2" customHeight="1" outlineLevel="1" x14ac:dyDescent="0.45">
      <c r="B473" s="63"/>
      <c r="C473" s="12"/>
      <c r="D473" s="22" t="s">
        <v>415</v>
      </c>
      <c r="E473" s="13" t="s">
        <v>623</v>
      </c>
      <c r="F473" s="13"/>
      <c r="G473" s="13"/>
      <c r="H473" s="14"/>
      <c r="I473" s="20"/>
      <c r="J473" s="15" t="str" cm="1">
        <f t="array" ref="J473">IF(B473&lt;&gt;"",MATCH(TRUE, INDEX((B474:B$9601&lt;&gt;""), 0), 0) - 1,"")</f>
        <v/>
      </c>
      <c r="K473" s="19" t="b">
        <v>0</v>
      </c>
      <c r="L473" s="17"/>
      <c r="M473" s="23"/>
    </row>
    <row r="474" spans="2:13" s="10" customFormat="1" ht="25.2" customHeight="1" outlineLevel="1" x14ac:dyDescent="0.45">
      <c r="B474" s="63"/>
      <c r="C474" s="12"/>
      <c r="D474" s="22" t="s">
        <v>416</v>
      </c>
      <c r="E474" s="13" t="s">
        <v>623</v>
      </c>
      <c r="F474" s="13"/>
      <c r="G474" s="13"/>
      <c r="H474" s="14"/>
      <c r="I474" s="20"/>
      <c r="J474" s="15" t="str" cm="1">
        <f t="array" ref="J474">IF(B474&lt;&gt;"",MATCH(TRUE, INDEX((B475:B$9601&lt;&gt;""), 0), 0) - 1,"")</f>
        <v/>
      </c>
      <c r="K474" s="19" t="b">
        <v>0</v>
      </c>
      <c r="L474" s="17"/>
      <c r="M474" s="23"/>
    </row>
    <row r="475" spans="2:13" s="10" customFormat="1" ht="25.2" customHeight="1" outlineLevel="1" x14ac:dyDescent="0.45">
      <c r="B475" s="63"/>
      <c r="C475" s="12"/>
      <c r="D475" s="22" t="s">
        <v>417</v>
      </c>
      <c r="E475" s="13" t="s">
        <v>623</v>
      </c>
      <c r="F475" s="13"/>
      <c r="G475" s="13"/>
      <c r="H475" s="14"/>
      <c r="I475" s="20"/>
      <c r="J475" s="15" t="str" cm="1">
        <f t="array" ref="J475">IF(B475&lt;&gt;"",MATCH(TRUE, INDEX((B476:B$9601&lt;&gt;""), 0), 0) - 1,"")</f>
        <v/>
      </c>
      <c r="K475" s="19" t="b">
        <v>0</v>
      </c>
      <c r="L475" s="17"/>
      <c r="M475" s="23"/>
    </row>
    <row r="476" spans="2:13" s="10" customFormat="1" ht="25.2" customHeight="1" outlineLevel="1" x14ac:dyDescent="0.45">
      <c r="B476" s="63"/>
      <c r="C476" s="12"/>
      <c r="D476" s="22" t="s">
        <v>173</v>
      </c>
      <c r="E476" s="13" t="s">
        <v>623</v>
      </c>
      <c r="F476" s="13"/>
      <c r="G476" s="13"/>
      <c r="H476" s="14"/>
      <c r="I476" s="20"/>
      <c r="J476" s="15" t="str" cm="1">
        <f t="array" ref="J476">IF(B476&lt;&gt;"",MATCH(TRUE, INDEX((B477:B$9601&lt;&gt;""), 0), 0) - 1,"")</f>
        <v/>
      </c>
      <c r="K476" s="19" t="b">
        <v>0</v>
      </c>
      <c r="L476" s="17"/>
      <c r="M476" s="23"/>
    </row>
    <row r="477" spans="2:13" s="10" customFormat="1" ht="25.2" customHeight="1" outlineLevel="1" x14ac:dyDescent="0.45">
      <c r="B477" s="63"/>
      <c r="C477" s="12"/>
      <c r="D477" s="22" t="s">
        <v>174</v>
      </c>
      <c r="E477" s="13" t="s">
        <v>623</v>
      </c>
      <c r="F477" s="13"/>
      <c r="G477" s="13"/>
      <c r="H477" s="14"/>
      <c r="I477" s="20"/>
      <c r="J477" s="15" t="str" cm="1">
        <f t="array" ref="J477">IF(B477&lt;&gt;"",MATCH(TRUE, INDEX((B478:B$9601&lt;&gt;""), 0), 0) - 1,"")</f>
        <v/>
      </c>
      <c r="K477" s="19" t="b">
        <v>0</v>
      </c>
      <c r="L477" s="17"/>
      <c r="M477" s="23"/>
    </row>
    <row r="478" spans="2:13" s="10" customFormat="1" ht="25.2" customHeight="1" outlineLevel="1" x14ac:dyDescent="0.45">
      <c r="B478" s="63"/>
      <c r="C478" s="12"/>
      <c r="D478" s="22" t="s">
        <v>175</v>
      </c>
      <c r="E478" s="13" t="s">
        <v>623</v>
      </c>
      <c r="F478" s="13"/>
      <c r="G478" s="13"/>
      <c r="H478" s="14"/>
      <c r="I478" s="20"/>
      <c r="J478" s="15" t="str" cm="1">
        <f t="array" ref="J478">IF(B478&lt;&gt;"",MATCH(TRUE, INDEX((B479:B$9601&lt;&gt;""), 0), 0) - 1,"")</f>
        <v/>
      </c>
      <c r="K478" s="19" t="b">
        <v>0</v>
      </c>
      <c r="L478" s="17"/>
      <c r="M478" s="23"/>
    </row>
    <row r="479" spans="2:13" s="10" customFormat="1" ht="25.2" customHeight="1" outlineLevel="1" x14ac:dyDescent="0.45">
      <c r="B479" s="63"/>
      <c r="C479" s="12"/>
      <c r="D479" s="22" t="s">
        <v>524</v>
      </c>
      <c r="E479" s="13" t="s">
        <v>623</v>
      </c>
      <c r="F479" s="13"/>
      <c r="G479" s="13"/>
      <c r="H479" s="14"/>
      <c r="I479" s="20"/>
      <c r="J479" s="15" t="str" cm="1">
        <f t="array" ref="J479">IF(B479&lt;&gt;"",MATCH(TRUE, INDEX((B480:B$9601&lt;&gt;""), 0), 0) - 1,"")</f>
        <v/>
      </c>
      <c r="K479" s="19" t="b">
        <v>0</v>
      </c>
      <c r="L479" s="17"/>
      <c r="M479" s="23"/>
    </row>
    <row r="480" spans="2:13" s="10" customFormat="1" ht="25.2" customHeight="1" outlineLevel="1" x14ac:dyDescent="0.45">
      <c r="B480" s="63"/>
      <c r="C480" s="12"/>
      <c r="D480" s="22" t="s">
        <v>525</v>
      </c>
      <c r="E480" s="13" t="s">
        <v>623</v>
      </c>
      <c r="F480" s="13"/>
      <c r="G480" s="13"/>
      <c r="H480" s="14"/>
      <c r="I480" s="20"/>
      <c r="J480" s="15" t="str" cm="1">
        <f t="array" ref="J480">IF(B480&lt;&gt;"",MATCH(TRUE, INDEX((B481:B$9601&lt;&gt;""), 0), 0) - 1,"")</f>
        <v/>
      </c>
      <c r="K480" s="19" t="b">
        <v>0</v>
      </c>
      <c r="L480" s="17"/>
      <c r="M480" s="23"/>
    </row>
    <row r="481" spans="2:13" s="10" customFormat="1" ht="25.2" customHeight="1" outlineLevel="1" x14ac:dyDescent="0.45">
      <c r="B481" s="63"/>
      <c r="C481" s="12"/>
      <c r="D481" s="22" t="s">
        <v>526</v>
      </c>
      <c r="E481" s="13" t="s">
        <v>623</v>
      </c>
      <c r="F481" s="13"/>
      <c r="G481" s="13"/>
      <c r="H481" s="14"/>
      <c r="I481" s="20"/>
      <c r="J481" s="15" t="str" cm="1">
        <f t="array" ref="J481">IF(B481&lt;&gt;"",MATCH(TRUE, INDEX((B482:B$9601&lt;&gt;""), 0), 0) - 1,"")</f>
        <v/>
      </c>
      <c r="K481" s="19" t="b">
        <v>0</v>
      </c>
      <c r="L481" s="17"/>
      <c r="M481" s="23"/>
    </row>
    <row r="482" spans="2:13" s="10" customFormat="1" ht="25.2" customHeight="1" outlineLevel="1" x14ac:dyDescent="0.45">
      <c r="B482" s="63"/>
      <c r="C482" s="12"/>
      <c r="D482" s="22" t="s">
        <v>527</v>
      </c>
      <c r="E482" s="13" t="s">
        <v>623</v>
      </c>
      <c r="F482" s="13"/>
      <c r="G482" s="13"/>
      <c r="H482" s="14"/>
      <c r="I482" s="20"/>
      <c r="J482" s="15" t="str" cm="1">
        <f t="array" ref="J482">IF(B482&lt;&gt;"",MATCH(TRUE, INDEX((B483:B$9601&lt;&gt;""), 0), 0) - 1,"")</f>
        <v/>
      </c>
      <c r="K482" s="19" t="b">
        <v>0</v>
      </c>
      <c r="L482" s="17"/>
      <c r="M482" s="23"/>
    </row>
    <row r="483" spans="2:13" s="10" customFormat="1" ht="25.2" customHeight="1" outlineLevel="1" x14ac:dyDescent="0.45">
      <c r="B483" s="63"/>
      <c r="C483" s="12"/>
      <c r="D483" s="22" t="s">
        <v>528</v>
      </c>
      <c r="E483" s="13" t="s">
        <v>623</v>
      </c>
      <c r="F483" s="13"/>
      <c r="G483" s="13"/>
      <c r="H483" s="14"/>
      <c r="I483" s="20"/>
      <c r="J483" s="15" t="str" cm="1">
        <f t="array" ref="J483">IF(B483&lt;&gt;"",MATCH(TRUE, INDEX((B484:B$9601&lt;&gt;""), 0), 0) - 1,"")</f>
        <v/>
      </c>
      <c r="K483" s="19" t="b">
        <v>0</v>
      </c>
      <c r="L483" s="17"/>
      <c r="M483" s="23"/>
    </row>
    <row r="484" spans="2:13" s="10" customFormat="1" ht="25.2" customHeight="1" outlineLevel="1" x14ac:dyDescent="0.45">
      <c r="B484" s="63"/>
      <c r="C484" s="12"/>
      <c r="D484" s="22" t="s">
        <v>529</v>
      </c>
      <c r="E484" s="13" t="s">
        <v>623</v>
      </c>
      <c r="F484" s="13"/>
      <c r="G484" s="13"/>
      <c r="H484" s="14"/>
      <c r="I484" s="20"/>
      <c r="J484" s="15" t="str" cm="1">
        <f t="array" ref="J484">IF(B484&lt;&gt;"",MATCH(TRUE, INDEX((B485:B$9601&lt;&gt;""), 0), 0) - 1,"")</f>
        <v/>
      </c>
      <c r="K484" s="19" t="b">
        <v>0</v>
      </c>
      <c r="L484" s="17"/>
      <c r="M484" s="23"/>
    </row>
    <row r="485" spans="2:13" s="10" customFormat="1" ht="25.2" customHeight="1" outlineLevel="1" x14ac:dyDescent="0.45">
      <c r="B485" s="63"/>
      <c r="C485" s="12"/>
      <c r="D485" s="22" t="s">
        <v>530</v>
      </c>
      <c r="E485" s="13" t="s">
        <v>623</v>
      </c>
      <c r="F485" s="13"/>
      <c r="G485" s="13"/>
      <c r="H485" s="14"/>
      <c r="I485" s="20"/>
      <c r="J485" s="15" t="str" cm="1">
        <f t="array" ref="J485">IF(B485&lt;&gt;"",MATCH(TRUE, INDEX((B486:B$9601&lt;&gt;""), 0), 0) - 1,"")</f>
        <v/>
      </c>
      <c r="K485" s="19" t="b">
        <v>0</v>
      </c>
      <c r="L485" s="17"/>
      <c r="M485" s="23"/>
    </row>
    <row r="486" spans="2:13" s="10" customFormat="1" ht="25.2" customHeight="1" outlineLevel="1" x14ac:dyDescent="0.45">
      <c r="B486" s="63"/>
      <c r="C486" s="12"/>
      <c r="D486" s="22" t="s">
        <v>176</v>
      </c>
      <c r="E486" s="13" t="s">
        <v>623</v>
      </c>
      <c r="F486" s="13"/>
      <c r="G486" s="13"/>
      <c r="H486" s="14"/>
      <c r="I486" s="20"/>
      <c r="J486" s="15" t="str" cm="1">
        <f t="array" ref="J486">IF(B486&lt;&gt;"",MATCH(TRUE, INDEX((B487:B$9601&lt;&gt;""), 0), 0) - 1,"")</f>
        <v/>
      </c>
      <c r="K486" s="19" t="b">
        <v>0</v>
      </c>
      <c r="L486" s="17"/>
      <c r="M486" s="23"/>
    </row>
    <row r="487" spans="2:13" s="10" customFormat="1" ht="25.2" customHeight="1" outlineLevel="1" x14ac:dyDescent="0.45">
      <c r="B487" s="63"/>
      <c r="C487" s="12"/>
      <c r="D487" s="22" t="s">
        <v>177</v>
      </c>
      <c r="E487" s="13" t="s">
        <v>623</v>
      </c>
      <c r="F487" s="13"/>
      <c r="G487" s="13"/>
      <c r="H487" s="14"/>
      <c r="I487" s="20"/>
      <c r="J487" s="15" t="str" cm="1">
        <f t="array" ref="J487">IF(B487&lt;&gt;"",MATCH(TRUE, INDEX((B488:B$9601&lt;&gt;""), 0), 0) - 1,"")</f>
        <v/>
      </c>
      <c r="K487" s="19" t="b">
        <v>0</v>
      </c>
      <c r="L487" s="17"/>
      <c r="M487" s="23"/>
    </row>
    <row r="488" spans="2:13" s="10" customFormat="1" ht="25.2" customHeight="1" outlineLevel="1" x14ac:dyDescent="0.45">
      <c r="B488" s="63"/>
      <c r="C488" s="12"/>
      <c r="D488" s="22" t="s">
        <v>531</v>
      </c>
      <c r="E488" s="13" t="s">
        <v>623</v>
      </c>
      <c r="F488" s="13"/>
      <c r="G488" s="13"/>
      <c r="H488" s="14"/>
      <c r="I488" s="20"/>
      <c r="J488" s="15" t="str" cm="1">
        <f t="array" ref="J488">IF(B488&lt;&gt;"",MATCH(TRUE, INDEX((B489:B$9601&lt;&gt;""), 0), 0) - 1,"")</f>
        <v/>
      </c>
      <c r="K488" s="19" t="b">
        <v>0</v>
      </c>
      <c r="L488" s="17"/>
      <c r="M488" s="23"/>
    </row>
    <row r="489" spans="2:13" s="10" customFormat="1" ht="25.2" customHeight="1" outlineLevel="1" x14ac:dyDescent="0.45">
      <c r="B489" s="63"/>
      <c r="C489" s="12"/>
      <c r="D489" s="22" t="s">
        <v>532</v>
      </c>
      <c r="E489" s="13" t="s">
        <v>623</v>
      </c>
      <c r="F489" s="13"/>
      <c r="G489" s="13"/>
      <c r="H489" s="14"/>
      <c r="I489" s="20"/>
      <c r="J489" s="15" t="str" cm="1">
        <f t="array" ref="J489">IF(B489&lt;&gt;"",MATCH(TRUE, INDEX((B490:B$9601&lt;&gt;""), 0), 0) - 1,"")</f>
        <v/>
      </c>
      <c r="K489" s="19" t="b">
        <v>0</v>
      </c>
      <c r="L489" s="17"/>
      <c r="M489" s="23"/>
    </row>
    <row r="490" spans="2:13" s="10" customFormat="1" ht="25.2" customHeight="1" outlineLevel="1" x14ac:dyDescent="0.45">
      <c r="B490" s="63"/>
      <c r="C490" s="12"/>
      <c r="D490" s="22" t="s">
        <v>533</v>
      </c>
      <c r="E490" s="13" t="s">
        <v>623</v>
      </c>
      <c r="F490" s="13"/>
      <c r="G490" s="13"/>
      <c r="H490" s="14"/>
      <c r="I490" s="20"/>
      <c r="J490" s="15" t="str" cm="1">
        <f t="array" ref="J490">IF(B490&lt;&gt;"",MATCH(TRUE, INDEX((B491:B$9601&lt;&gt;""), 0), 0) - 1,"")</f>
        <v/>
      </c>
      <c r="K490" s="19" t="b">
        <v>0</v>
      </c>
      <c r="L490" s="17"/>
      <c r="M490" s="23"/>
    </row>
    <row r="491" spans="2:13" s="10" customFormat="1" ht="25.2" customHeight="1" outlineLevel="1" x14ac:dyDescent="0.45">
      <c r="B491" s="63"/>
      <c r="C491" s="12"/>
      <c r="D491" s="22" t="s">
        <v>534</v>
      </c>
      <c r="E491" s="13" t="s">
        <v>623</v>
      </c>
      <c r="F491" s="13"/>
      <c r="G491" s="13"/>
      <c r="H491" s="14"/>
      <c r="I491" s="69"/>
      <c r="J491" s="15" t="str" cm="1">
        <f t="array" ref="J491">IF(B491&lt;&gt;"",MATCH(TRUE, INDEX((B492:B$9601&lt;&gt;""), 0), 0) - 1,"")</f>
        <v/>
      </c>
      <c r="K491" s="19" t="b">
        <v>0</v>
      </c>
      <c r="L491" s="17"/>
      <c r="M491" s="23"/>
    </row>
    <row r="492" spans="2:13" s="10" customFormat="1" ht="25.2" customHeight="1" outlineLevel="1" x14ac:dyDescent="0.45">
      <c r="B492" s="63"/>
      <c r="C492" s="12"/>
      <c r="D492" s="22" t="s">
        <v>535</v>
      </c>
      <c r="E492" s="13" t="s">
        <v>623</v>
      </c>
      <c r="F492" s="13"/>
      <c r="G492" s="13"/>
      <c r="H492" s="27"/>
      <c r="I492" s="70"/>
      <c r="J492" s="15" t="str" cm="1">
        <f t="array" ref="J492">IF(B492&lt;&gt;"",MATCH(TRUE, INDEX((B493:B$9601&lt;&gt;""), 0), 0) - 1,"")</f>
        <v/>
      </c>
      <c r="K492" s="19" t="b">
        <v>0</v>
      </c>
      <c r="L492" s="17"/>
      <c r="M492" s="23"/>
    </row>
    <row r="493" spans="2:13" s="10" customFormat="1" ht="25.2" customHeight="1" outlineLevel="1" x14ac:dyDescent="0.45">
      <c r="B493" s="63"/>
      <c r="C493" s="12"/>
      <c r="D493" s="22" t="s">
        <v>536</v>
      </c>
      <c r="E493" s="13" t="s">
        <v>623</v>
      </c>
      <c r="F493" s="13"/>
      <c r="G493" s="13"/>
      <c r="H493" s="27"/>
      <c r="I493" s="70"/>
      <c r="J493" s="15" t="str" cm="1">
        <f t="array" ref="J493">IF(B493&lt;&gt;"",MATCH(TRUE, INDEX((B494:B$9601&lt;&gt;""), 0), 0) - 1,"")</f>
        <v/>
      </c>
      <c r="K493" s="19" t="b">
        <v>0</v>
      </c>
      <c r="L493" s="17"/>
      <c r="M493" s="23"/>
    </row>
    <row r="494" spans="2:13" s="10" customFormat="1" ht="25.2" customHeight="1" outlineLevel="1" x14ac:dyDescent="0.45">
      <c r="B494" s="63"/>
      <c r="C494" s="12"/>
      <c r="D494" s="22" t="s">
        <v>537</v>
      </c>
      <c r="E494" s="13" t="s">
        <v>623</v>
      </c>
      <c r="F494" s="13"/>
      <c r="G494" s="13"/>
      <c r="H494" s="27"/>
      <c r="I494" s="70"/>
      <c r="J494" s="15" t="str" cm="1">
        <f t="array" ref="J494">IF(B494&lt;&gt;"",MATCH(TRUE, INDEX((B495:B$9601&lt;&gt;""), 0), 0) - 1,"")</f>
        <v/>
      </c>
      <c r="K494" s="19" t="b">
        <v>0</v>
      </c>
      <c r="L494" s="17"/>
      <c r="M494" s="23"/>
    </row>
    <row r="495" spans="2:13" s="10" customFormat="1" ht="25.2" customHeight="1" outlineLevel="1" x14ac:dyDescent="0.45">
      <c r="B495" s="63"/>
      <c r="C495" s="12"/>
      <c r="D495" s="22" t="s">
        <v>538</v>
      </c>
      <c r="E495" s="13" t="s">
        <v>623</v>
      </c>
      <c r="F495" s="13"/>
      <c r="G495" s="13"/>
      <c r="H495" s="14"/>
      <c r="I495" s="71"/>
      <c r="J495" s="15" t="str" cm="1">
        <f t="array" ref="J495">IF(B495&lt;&gt;"",MATCH(TRUE, INDEX((B496:B$9601&lt;&gt;""), 0), 0) - 1,"")</f>
        <v/>
      </c>
      <c r="K495" s="19" t="b">
        <v>0</v>
      </c>
      <c r="L495" s="17"/>
      <c r="M495" s="23"/>
    </row>
    <row r="496" spans="2:13" s="10" customFormat="1" ht="25.2" customHeight="1" outlineLevel="1" x14ac:dyDescent="0.45">
      <c r="B496" s="63"/>
      <c r="C496" s="12"/>
      <c r="D496" s="22" t="s">
        <v>539</v>
      </c>
      <c r="E496" s="13" t="s">
        <v>623</v>
      </c>
      <c r="F496" s="13"/>
      <c r="G496" s="13"/>
      <c r="H496" s="14"/>
      <c r="I496" s="20"/>
      <c r="J496" s="15" t="str" cm="1">
        <f t="array" ref="J496">IF(B496&lt;&gt;"",MATCH(TRUE, INDEX((B497:B$9601&lt;&gt;""), 0), 0) - 1,"")</f>
        <v/>
      </c>
      <c r="K496" s="19" t="b">
        <v>0</v>
      </c>
      <c r="L496" s="17"/>
      <c r="M496" s="23"/>
    </row>
    <row r="497" spans="2:13" s="10" customFormat="1" ht="25.2" customHeight="1" outlineLevel="1" x14ac:dyDescent="0.45">
      <c r="B497" s="63"/>
      <c r="C497" s="12"/>
      <c r="D497" s="22" t="s">
        <v>540</v>
      </c>
      <c r="E497" s="13" t="s">
        <v>623</v>
      </c>
      <c r="F497" s="13"/>
      <c r="G497" s="13"/>
      <c r="H497" s="27"/>
      <c r="I497" s="69"/>
      <c r="J497" s="15" t="str" cm="1">
        <f t="array" ref="J497">IF(B497&lt;&gt;"",MATCH(TRUE, INDEX((B498:B$9601&lt;&gt;""), 0), 0) - 1,"")</f>
        <v/>
      </c>
      <c r="K497" s="19" t="b">
        <v>0</v>
      </c>
      <c r="L497" s="17"/>
      <c r="M497" s="23"/>
    </row>
    <row r="498" spans="2:13" s="10" customFormat="1" ht="25.2" customHeight="1" outlineLevel="1" x14ac:dyDescent="0.45">
      <c r="B498" s="63"/>
      <c r="C498" s="12"/>
      <c r="D498" s="22" t="s">
        <v>541</v>
      </c>
      <c r="E498" s="13" t="s">
        <v>623</v>
      </c>
      <c r="F498" s="13"/>
      <c r="G498" s="13"/>
      <c r="H498" s="14"/>
      <c r="I498" s="71"/>
      <c r="J498" s="15" t="str" cm="1">
        <f t="array" ref="J498">IF(B498&lt;&gt;"",MATCH(TRUE, INDEX((B499:B$9601&lt;&gt;""), 0), 0) - 1,"")</f>
        <v/>
      </c>
      <c r="K498" s="19" t="b">
        <v>0</v>
      </c>
      <c r="L498" s="17"/>
      <c r="M498" s="23"/>
    </row>
    <row r="499" spans="2:13" s="10" customFormat="1" ht="25.2" customHeight="1" outlineLevel="1" x14ac:dyDescent="0.45">
      <c r="B499" s="63"/>
      <c r="C499" s="12"/>
      <c r="D499" s="83" t="s">
        <v>542</v>
      </c>
      <c r="E499" s="13" t="s">
        <v>623</v>
      </c>
      <c r="F499" s="13"/>
      <c r="G499" s="13"/>
      <c r="H499" s="14"/>
      <c r="I499" s="20"/>
      <c r="J499" s="15" t="str" cm="1">
        <f t="array" ref="J499">IF(B499&lt;&gt;"",MATCH(TRUE, INDEX((B500:B$9601&lt;&gt;""), 0), 0) - 1,"")</f>
        <v/>
      </c>
      <c r="K499" s="19" t="b">
        <v>0</v>
      </c>
      <c r="L499" s="17"/>
      <c r="M499" s="23"/>
    </row>
    <row r="500" spans="2:13" s="10" customFormat="1" ht="25.2" customHeight="1" outlineLevel="1" x14ac:dyDescent="0.45">
      <c r="B500" s="63"/>
      <c r="C500" s="12"/>
      <c r="D500" s="83" t="s">
        <v>543</v>
      </c>
      <c r="E500" s="13" t="s">
        <v>623</v>
      </c>
      <c r="F500" s="13"/>
      <c r="G500" s="13"/>
      <c r="H500" s="14"/>
      <c r="I500" s="20"/>
      <c r="J500" s="15" t="str" cm="1">
        <f t="array" ref="J500">IF(B500&lt;&gt;"",MATCH(TRUE, INDEX((B501:B$9601&lt;&gt;""), 0), 0) - 1,"")</f>
        <v/>
      </c>
      <c r="K500" s="19" t="b">
        <v>0</v>
      </c>
      <c r="L500" s="17"/>
      <c r="M500" s="23"/>
    </row>
    <row r="501" spans="2:13" s="10" customFormat="1" ht="25.2" customHeight="1" outlineLevel="1" x14ac:dyDescent="0.45">
      <c r="B501" s="63"/>
      <c r="C501" s="12"/>
      <c r="D501" s="83" t="s">
        <v>544</v>
      </c>
      <c r="E501" s="13" t="s">
        <v>623</v>
      </c>
      <c r="F501" s="13"/>
      <c r="G501" s="13"/>
      <c r="H501" s="14"/>
      <c r="I501" s="20"/>
      <c r="J501" s="15" t="str" cm="1">
        <f t="array" ref="J501">IF(B501&lt;&gt;"",MATCH(TRUE, INDEX((B502:B$9601&lt;&gt;""), 0), 0) - 1,"")</f>
        <v/>
      </c>
      <c r="K501" s="19" t="b">
        <v>0</v>
      </c>
      <c r="L501" s="17"/>
      <c r="M501" s="23"/>
    </row>
    <row r="502" spans="2:13" s="10" customFormat="1" ht="25.2" customHeight="1" outlineLevel="1" x14ac:dyDescent="0.45">
      <c r="B502" s="63"/>
      <c r="C502" s="12"/>
      <c r="D502" s="83" t="s">
        <v>545</v>
      </c>
      <c r="E502" s="13" t="s">
        <v>623</v>
      </c>
      <c r="F502" s="13"/>
      <c r="G502" s="13"/>
      <c r="H502" s="14"/>
      <c r="I502" s="20"/>
      <c r="J502" s="15" t="str" cm="1">
        <f t="array" ref="J502">IF(B502&lt;&gt;"",MATCH(TRUE, INDEX((B503:B$9601&lt;&gt;""), 0), 0) - 1,"")</f>
        <v/>
      </c>
      <c r="K502" s="19" t="b">
        <v>0</v>
      </c>
      <c r="L502" s="17"/>
      <c r="M502" s="23"/>
    </row>
    <row r="503" spans="2:13" s="10" customFormat="1" ht="25.2" customHeight="1" x14ac:dyDescent="0.45">
      <c r="B503" s="63">
        <v>35</v>
      </c>
      <c r="C503" s="74" t="s">
        <v>467</v>
      </c>
      <c r="D503" s="22" t="s">
        <v>418</v>
      </c>
      <c r="E503" s="13" t="s">
        <v>623</v>
      </c>
      <c r="F503" s="13"/>
      <c r="G503" s="13"/>
      <c r="H503" s="14" t="str">
        <f>IF(K503=100, "FINISH", IF(K503&gt;0, "IN PROGRESS", IF(K503=0, "SCHED-OK", "")))</f>
        <v>SCHED-OK</v>
      </c>
      <c r="I503" s="20" t="s">
        <v>56</v>
      </c>
      <c r="J503" s="15" cm="1">
        <f t="array" ref="J503">IF(B503&lt;&gt;"",MATCH(TRUE, INDEX((B504:B$9601&lt;&gt;""), 0), 0) - 1,"")</f>
        <v>13</v>
      </c>
      <c r="K503" s="16">
        <f>IF(J503&gt;0, COUNTIF(K504:INDEX(K504:K$9577, J503), TRUE)/J503*100, "")</f>
        <v>0</v>
      </c>
      <c r="L503" s="17" t="s">
        <v>20</v>
      </c>
      <c r="M503" s="18"/>
    </row>
    <row r="504" spans="2:13" s="10" customFormat="1" ht="25.2" customHeight="1" outlineLevel="1" x14ac:dyDescent="0.45">
      <c r="B504" s="63"/>
      <c r="C504" s="24"/>
      <c r="D504" s="22" t="s">
        <v>178</v>
      </c>
      <c r="E504" s="13" t="s">
        <v>623</v>
      </c>
      <c r="F504" s="13"/>
      <c r="G504" s="13"/>
      <c r="H504" s="14"/>
      <c r="I504" s="20"/>
      <c r="J504" s="15" t="str" cm="1">
        <f t="array" ref="J504">IF(B504&lt;&gt;"",MATCH(TRUE, INDEX((B505:B$9601&lt;&gt;""), 0), 0) - 1,"")</f>
        <v/>
      </c>
      <c r="K504" s="19" t="b">
        <v>0</v>
      </c>
      <c r="L504" s="17"/>
      <c r="M504" s="23"/>
    </row>
    <row r="505" spans="2:13" s="10" customFormat="1" ht="25.2" customHeight="1" outlineLevel="1" x14ac:dyDescent="0.45">
      <c r="B505" s="63"/>
      <c r="C505" s="24"/>
      <c r="D505" s="22" t="s">
        <v>179</v>
      </c>
      <c r="E505" s="13" t="s">
        <v>623</v>
      </c>
      <c r="F505" s="13"/>
      <c r="G505" s="13"/>
      <c r="H505" s="14"/>
      <c r="I505" s="20"/>
      <c r="J505" s="15" t="str" cm="1">
        <f t="array" ref="J505">IF(B505&lt;&gt;"",MATCH(TRUE, INDEX((B506:B$9601&lt;&gt;""), 0), 0) - 1,"")</f>
        <v/>
      </c>
      <c r="K505" s="19" t="b">
        <v>0</v>
      </c>
      <c r="L505" s="17"/>
      <c r="M505" s="23"/>
    </row>
    <row r="506" spans="2:13" s="10" customFormat="1" ht="25.2" customHeight="1" outlineLevel="1" x14ac:dyDescent="0.45">
      <c r="B506" s="63"/>
      <c r="C506" s="24"/>
      <c r="D506" s="22" t="s">
        <v>180</v>
      </c>
      <c r="E506" s="13" t="s">
        <v>623</v>
      </c>
      <c r="F506" s="13"/>
      <c r="G506" s="13"/>
      <c r="H506" s="14"/>
      <c r="I506" s="20"/>
      <c r="J506" s="15" t="str" cm="1">
        <f t="array" ref="J506">IF(B506&lt;&gt;"",MATCH(TRUE, INDEX((B507:B$9601&lt;&gt;""), 0), 0) - 1,"")</f>
        <v/>
      </c>
      <c r="K506" s="19" t="b">
        <v>0</v>
      </c>
      <c r="L506" s="17"/>
      <c r="M506" s="23"/>
    </row>
    <row r="507" spans="2:13" s="10" customFormat="1" ht="25.2" customHeight="1" outlineLevel="1" x14ac:dyDescent="0.45">
      <c r="B507" s="63"/>
      <c r="C507" s="24"/>
      <c r="D507" s="22" t="s">
        <v>181</v>
      </c>
      <c r="E507" s="13" t="s">
        <v>623</v>
      </c>
      <c r="F507" s="13"/>
      <c r="G507" s="13"/>
      <c r="H507" s="14"/>
      <c r="I507" s="20"/>
      <c r="J507" s="15" t="str" cm="1">
        <f t="array" ref="J507">IF(B507&lt;&gt;"",MATCH(TRUE, INDEX((B508:B$9601&lt;&gt;""), 0), 0) - 1,"")</f>
        <v/>
      </c>
      <c r="K507" s="19" t="b">
        <v>0</v>
      </c>
      <c r="L507" s="17"/>
      <c r="M507" s="23"/>
    </row>
    <row r="508" spans="2:13" s="10" customFormat="1" ht="25.2" customHeight="1" outlineLevel="1" x14ac:dyDescent="0.45">
      <c r="B508" s="63"/>
      <c r="C508" s="24"/>
      <c r="D508" s="22" t="s">
        <v>182</v>
      </c>
      <c r="E508" s="13" t="s">
        <v>623</v>
      </c>
      <c r="F508" s="13"/>
      <c r="G508" s="13"/>
      <c r="H508" s="14"/>
      <c r="I508" s="20"/>
      <c r="J508" s="15" t="str" cm="1">
        <f t="array" ref="J508">IF(B508&lt;&gt;"",MATCH(TRUE, INDEX((B509:B$9601&lt;&gt;""), 0), 0) - 1,"")</f>
        <v/>
      </c>
      <c r="K508" s="19" t="b">
        <v>0</v>
      </c>
      <c r="L508" s="17"/>
      <c r="M508" s="23"/>
    </row>
    <row r="509" spans="2:13" s="10" customFormat="1" ht="25.2" customHeight="1" outlineLevel="1" x14ac:dyDescent="0.45">
      <c r="B509" s="63"/>
      <c r="C509" s="24"/>
      <c r="D509" s="22" t="s">
        <v>183</v>
      </c>
      <c r="E509" s="13" t="s">
        <v>623</v>
      </c>
      <c r="F509" s="13"/>
      <c r="G509" s="13"/>
      <c r="H509" s="14"/>
      <c r="I509" s="20"/>
      <c r="J509" s="15" t="str" cm="1">
        <f t="array" ref="J509">IF(B509&lt;&gt;"",MATCH(TRUE, INDEX((B510:B$9601&lt;&gt;""), 0), 0) - 1,"")</f>
        <v/>
      </c>
      <c r="K509" s="19" t="b">
        <v>0</v>
      </c>
      <c r="L509" s="17"/>
      <c r="M509" s="23"/>
    </row>
    <row r="510" spans="2:13" s="10" customFormat="1" ht="25.2" customHeight="1" outlineLevel="1" x14ac:dyDescent="0.45">
      <c r="B510" s="63"/>
      <c r="C510" s="24"/>
      <c r="D510" s="22" t="s">
        <v>184</v>
      </c>
      <c r="E510" s="13" t="s">
        <v>623</v>
      </c>
      <c r="F510" s="13"/>
      <c r="G510" s="13"/>
      <c r="H510" s="14"/>
      <c r="I510" s="20"/>
      <c r="J510" s="15" t="str" cm="1">
        <f t="array" ref="J510">IF(B510&lt;&gt;"",MATCH(TRUE, INDEX((B511:B$9601&lt;&gt;""), 0), 0) - 1,"")</f>
        <v/>
      </c>
      <c r="K510" s="19" t="b">
        <v>0</v>
      </c>
      <c r="L510" s="17"/>
      <c r="M510" s="23"/>
    </row>
    <row r="511" spans="2:13" s="10" customFormat="1" ht="25.2" customHeight="1" outlineLevel="1" x14ac:dyDescent="0.45">
      <c r="B511" s="63"/>
      <c r="C511" s="24"/>
      <c r="D511" s="22" t="s">
        <v>185</v>
      </c>
      <c r="E511" s="13" t="s">
        <v>623</v>
      </c>
      <c r="F511" s="13"/>
      <c r="G511" s="13"/>
      <c r="H511" s="14"/>
      <c r="I511" s="20"/>
      <c r="J511" s="15" t="str" cm="1">
        <f t="array" ref="J511">IF(B511&lt;&gt;"",MATCH(TRUE, INDEX((B512:B$9601&lt;&gt;""), 0), 0) - 1,"")</f>
        <v/>
      </c>
      <c r="K511" s="19" t="b">
        <v>0</v>
      </c>
      <c r="L511" s="17"/>
      <c r="M511" s="23"/>
    </row>
    <row r="512" spans="2:13" s="10" customFormat="1" ht="25.2" customHeight="1" outlineLevel="1" x14ac:dyDescent="0.45">
      <c r="B512" s="63"/>
      <c r="C512" s="24"/>
      <c r="D512" s="22" t="s">
        <v>186</v>
      </c>
      <c r="E512" s="13" t="s">
        <v>623</v>
      </c>
      <c r="F512" s="13"/>
      <c r="G512" s="13"/>
      <c r="H512" s="14"/>
      <c r="I512" s="20"/>
      <c r="J512" s="15" t="str" cm="1">
        <f t="array" ref="J512">IF(B512&lt;&gt;"",MATCH(TRUE, INDEX((B513:B$9601&lt;&gt;""), 0), 0) - 1,"")</f>
        <v/>
      </c>
      <c r="K512" s="19" t="b">
        <v>0</v>
      </c>
      <c r="L512" s="17"/>
      <c r="M512" s="23"/>
    </row>
    <row r="513" spans="2:13" s="10" customFormat="1" ht="25.2" customHeight="1" outlineLevel="1" x14ac:dyDescent="0.45">
      <c r="B513" s="63"/>
      <c r="C513" s="24"/>
      <c r="D513" s="22" t="s">
        <v>187</v>
      </c>
      <c r="E513" s="13" t="s">
        <v>623</v>
      </c>
      <c r="F513" s="13"/>
      <c r="G513" s="13"/>
      <c r="H513" s="14"/>
      <c r="I513" s="20"/>
      <c r="J513" s="15" t="str" cm="1">
        <f t="array" ref="J513">IF(B513&lt;&gt;"",MATCH(TRUE, INDEX((B514:B$9601&lt;&gt;""), 0), 0) - 1,"")</f>
        <v/>
      </c>
      <c r="K513" s="19" t="b">
        <v>0</v>
      </c>
      <c r="L513" s="17"/>
      <c r="M513" s="23"/>
    </row>
    <row r="514" spans="2:13" s="10" customFormat="1" ht="25.2" customHeight="1" outlineLevel="1" x14ac:dyDescent="0.45">
      <c r="B514" s="63"/>
      <c r="C514" s="24"/>
      <c r="D514" s="22" t="s">
        <v>188</v>
      </c>
      <c r="E514" s="13" t="s">
        <v>623</v>
      </c>
      <c r="F514" s="13"/>
      <c r="G514" s="13"/>
      <c r="H514" s="14"/>
      <c r="I514" s="20"/>
      <c r="J514" s="15" t="str" cm="1">
        <f t="array" ref="J514">IF(B514&lt;&gt;"",MATCH(TRUE, INDEX((B515:B$9601&lt;&gt;""), 0), 0) - 1,"")</f>
        <v/>
      </c>
      <c r="K514" s="19" t="b">
        <v>0</v>
      </c>
      <c r="L514" s="17"/>
      <c r="M514" s="23"/>
    </row>
    <row r="515" spans="2:13" s="10" customFormat="1" ht="25.2" customHeight="1" outlineLevel="1" x14ac:dyDescent="0.45">
      <c r="B515" s="63"/>
      <c r="C515" s="24"/>
      <c r="D515" s="22" t="s">
        <v>189</v>
      </c>
      <c r="E515" s="13" t="s">
        <v>623</v>
      </c>
      <c r="F515" s="13"/>
      <c r="G515" s="13"/>
      <c r="H515" s="14"/>
      <c r="I515" s="20"/>
      <c r="J515" s="15" t="str" cm="1">
        <f t="array" ref="J515">IF(B515&lt;&gt;"",MATCH(TRUE, INDEX((B516:B$9601&lt;&gt;""), 0), 0) - 1,"")</f>
        <v/>
      </c>
      <c r="K515" s="19" t="b">
        <v>0</v>
      </c>
      <c r="L515" s="17"/>
      <c r="M515" s="23"/>
    </row>
    <row r="516" spans="2:13" s="10" customFormat="1" ht="25.2" customHeight="1" outlineLevel="1" x14ac:dyDescent="0.45">
      <c r="B516" s="63"/>
      <c r="C516" s="24"/>
      <c r="D516" s="22" t="s">
        <v>190</v>
      </c>
      <c r="E516" s="13" t="s">
        <v>623</v>
      </c>
      <c r="F516" s="13"/>
      <c r="G516" s="13"/>
      <c r="H516" s="14"/>
      <c r="I516" s="20"/>
      <c r="J516" s="15" t="str" cm="1">
        <f t="array" ref="J516">IF(B516&lt;&gt;"",MATCH(TRUE, INDEX((B517:B$9601&lt;&gt;""), 0), 0) - 1,"")</f>
        <v/>
      </c>
      <c r="K516" s="19" t="b">
        <v>0</v>
      </c>
      <c r="L516" s="17"/>
      <c r="M516" s="23"/>
    </row>
    <row r="517" spans="2:13" s="10" customFormat="1" ht="25.2" customHeight="1" x14ac:dyDescent="0.45">
      <c r="B517" s="63">
        <v>36</v>
      </c>
      <c r="C517" s="74" t="s">
        <v>467</v>
      </c>
      <c r="D517" s="22" t="s">
        <v>419</v>
      </c>
      <c r="E517" s="13" t="s">
        <v>623</v>
      </c>
      <c r="F517" s="13"/>
      <c r="G517" s="13"/>
      <c r="H517" s="14" t="str">
        <f>IF(K517=100, "FINISH", IF(K517&gt;0, "IN PROGRESS", IF(K517=0, "SCHED-OK", "")))</f>
        <v>IN PROGRESS</v>
      </c>
      <c r="I517" s="20" t="s">
        <v>76</v>
      </c>
      <c r="J517" s="15" cm="1">
        <f t="array" ref="J517">IF(B517&lt;&gt;"",MATCH(TRUE, INDEX((B518:B$9601&lt;&gt;""), 0), 0) - 1,"")</f>
        <v>4</v>
      </c>
      <c r="K517" s="16">
        <f>IF(J517&gt;0, COUNTIF(K518:INDEX(K518:K$9577, J517), TRUE)/J517*100, "")</f>
        <v>75</v>
      </c>
      <c r="L517" s="17" t="s">
        <v>20</v>
      </c>
      <c r="M517" s="18"/>
    </row>
    <row r="518" spans="2:13" s="10" customFormat="1" ht="25.2" customHeight="1" outlineLevel="1" x14ac:dyDescent="0.45">
      <c r="B518" s="63"/>
      <c r="C518" s="24"/>
      <c r="D518" s="22" t="s">
        <v>191</v>
      </c>
      <c r="E518" s="13" t="s">
        <v>623</v>
      </c>
      <c r="F518" s="13"/>
      <c r="G518" s="13"/>
      <c r="H518" s="14"/>
      <c r="I518" s="20"/>
      <c r="J518" s="15" t="str" cm="1">
        <f t="array" ref="J518">IF(B518&lt;&gt;"",MATCH(TRUE, INDEX((B519:B$9601&lt;&gt;""), 0), 0) - 1,"")</f>
        <v/>
      </c>
      <c r="K518" s="19" t="b">
        <v>0</v>
      </c>
      <c r="L518" s="17"/>
      <c r="M518" s="23"/>
    </row>
    <row r="519" spans="2:13" s="10" customFormat="1" ht="25.2" customHeight="1" outlineLevel="1" x14ac:dyDescent="0.45">
      <c r="B519" s="63"/>
      <c r="C519" s="24"/>
      <c r="D519" s="22" t="s">
        <v>546</v>
      </c>
      <c r="E519" s="13" t="s">
        <v>623</v>
      </c>
      <c r="F519" s="13"/>
      <c r="G519" s="13"/>
      <c r="H519" s="14"/>
      <c r="I519" s="20"/>
      <c r="J519" s="15" t="str" cm="1">
        <f t="array" ref="J519">IF(B519&lt;&gt;"",MATCH(TRUE, INDEX((B520:B$9601&lt;&gt;""), 0), 0) - 1,"")</f>
        <v/>
      </c>
      <c r="K519" s="19" t="b">
        <v>1</v>
      </c>
      <c r="L519" s="17"/>
      <c r="M519" s="23"/>
    </row>
    <row r="520" spans="2:13" s="10" customFormat="1" ht="25.2" customHeight="1" outlineLevel="1" x14ac:dyDescent="0.45">
      <c r="B520" s="63"/>
      <c r="C520" s="24"/>
      <c r="D520" s="22" t="s">
        <v>547</v>
      </c>
      <c r="E520" s="13" t="s">
        <v>623</v>
      </c>
      <c r="F520" s="13"/>
      <c r="G520" s="13"/>
      <c r="H520" s="14"/>
      <c r="I520" s="20"/>
      <c r="J520" s="15" t="str" cm="1">
        <f t="array" ref="J520">IF(B520&lt;&gt;"",MATCH(TRUE, INDEX((B521:B$9601&lt;&gt;""), 0), 0) - 1,"")</f>
        <v/>
      </c>
      <c r="K520" s="19" t="b">
        <v>1</v>
      </c>
      <c r="L520" s="17"/>
      <c r="M520" s="23"/>
    </row>
    <row r="521" spans="2:13" s="10" customFormat="1" ht="25.2" customHeight="1" outlineLevel="1" x14ac:dyDescent="0.45">
      <c r="B521" s="63"/>
      <c r="C521" s="24"/>
      <c r="D521" s="22" t="s">
        <v>548</v>
      </c>
      <c r="E521" s="13" t="s">
        <v>623</v>
      </c>
      <c r="F521" s="13"/>
      <c r="G521" s="13"/>
      <c r="H521" s="14"/>
      <c r="I521" s="20"/>
      <c r="J521" s="15" t="str" cm="1">
        <f t="array" ref="J521">IF(B521&lt;&gt;"",MATCH(TRUE, INDEX((B522:B$9601&lt;&gt;""), 0), 0) - 1,"")</f>
        <v/>
      </c>
      <c r="K521" s="19" t="b">
        <v>1</v>
      </c>
      <c r="L521" s="17"/>
      <c r="M521" s="23"/>
    </row>
    <row r="522" spans="2:13" s="10" customFormat="1" ht="25.2" customHeight="1" x14ac:dyDescent="0.45">
      <c r="B522" s="63">
        <v>37</v>
      </c>
      <c r="C522" s="74" t="s">
        <v>467</v>
      </c>
      <c r="D522" s="22" t="s">
        <v>420</v>
      </c>
      <c r="E522" s="13" t="s">
        <v>623</v>
      </c>
      <c r="F522" s="13"/>
      <c r="G522" s="13"/>
      <c r="H522" s="14" t="str">
        <f>IF(K522=100, "FINISH", IF(K522&gt;0, "IN PROGRESS", IF(K522=0, "SCHED-OK", "")))</f>
        <v>IN PROGRESS</v>
      </c>
      <c r="I522" s="20" t="s">
        <v>76</v>
      </c>
      <c r="J522" s="15" cm="1">
        <f t="array" ref="J522">IF(B522&lt;&gt;"",MATCH(TRUE, INDEX((B523:B$9601&lt;&gt;""), 0), 0) - 1,"")</f>
        <v>8</v>
      </c>
      <c r="K522" s="16">
        <f>IF(J522&gt;0, COUNTIF(K523:INDEX(K523:K$9577, J522), TRUE)/J522*100, "")</f>
        <v>62.5</v>
      </c>
      <c r="L522" s="17" t="s">
        <v>20</v>
      </c>
      <c r="M522" s="18"/>
    </row>
    <row r="523" spans="2:13" s="10" customFormat="1" ht="25.2" customHeight="1" outlineLevel="1" x14ac:dyDescent="0.45">
      <c r="B523" s="63"/>
      <c r="C523" s="24"/>
      <c r="D523" s="22" t="s">
        <v>549</v>
      </c>
      <c r="E523" s="13" t="s">
        <v>623</v>
      </c>
      <c r="F523" s="13"/>
      <c r="G523" s="13"/>
      <c r="H523" s="14"/>
      <c r="I523" s="20"/>
      <c r="J523" s="15" t="str" cm="1">
        <f t="array" ref="J523">IF(B523&lt;&gt;"",MATCH(TRUE, INDEX((B524:B$9601&lt;&gt;""), 0), 0) - 1,"")</f>
        <v/>
      </c>
      <c r="K523" s="19" t="b">
        <v>0</v>
      </c>
      <c r="L523" s="17"/>
      <c r="M523" s="23"/>
    </row>
    <row r="524" spans="2:13" s="10" customFormat="1" ht="25.2" customHeight="1" outlineLevel="1" x14ac:dyDescent="0.45">
      <c r="B524" s="63"/>
      <c r="C524" s="24"/>
      <c r="D524" s="22" t="s">
        <v>550</v>
      </c>
      <c r="E524" s="13" t="s">
        <v>623</v>
      </c>
      <c r="F524" s="13"/>
      <c r="G524" s="13"/>
      <c r="H524" s="14"/>
      <c r="I524" s="20"/>
      <c r="J524" s="15" t="str" cm="1">
        <f t="array" ref="J524">IF(B524&lt;&gt;"",MATCH(TRUE, INDEX((B525:B$9601&lt;&gt;""), 0), 0) - 1,"")</f>
        <v/>
      </c>
      <c r="K524" s="19" t="b">
        <v>0</v>
      </c>
      <c r="L524" s="17"/>
      <c r="M524" s="23"/>
    </row>
    <row r="525" spans="2:13" s="10" customFormat="1" ht="25.2" customHeight="1" outlineLevel="1" x14ac:dyDescent="0.45">
      <c r="B525" s="63"/>
      <c r="C525" s="24"/>
      <c r="D525" s="22" t="s">
        <v>551</v>
      </c>
      <c r="E525" s="13" t="s">
        <v>623</v>
      </c>
      <c r="F525" s="13"/>
      <c r="G525" s="13"/>
      <c r="H525" s="14"/>
      <c r="I525" s="20"/>
      <c r="J525" s="15" t="str" cm="1">
        <f t="array" ref="J525">IF(B525&lt;&gt;"",MATCH(TRUE, INDEX((B526:B$9601&lt;&gt;""), 0), 0) - 1,"")</f>
        <v/>
      </c>
      <c r="K525" s="19" t="b">
        <v>0</v>
      </c>
      <c r="L525" s="17"/>
      <c r="M525" s="23"/>
    </row>
    <row r="526" spans="2:13" s="10" customFormat="1" ht="25.2" customHeight="1" outlineLevel="1" x14ac:dyDescent="0.45">
      <c r="B526" s="63"/>
      <c r="C526" s="24"/>
      <c r="D526" s="22" t="s">
        <v>552</v>
      </c>
      <c r="E526" s="13" t="s">
        <v>623</v>
      </c>
      <c r="F526" s="13"/>
      <c r="G526" s="13"/>
      <c r="H526" s="14"/>
      <c r="I526" s="20"/>
      <c r="J526" s="15" t="str" cm="1">
        <f t="array" ref="J526">IF(B526&lt;&gt;"",MATCH(TRUE, INDEX((B527:B$9601&lt;&gt;""), 0), 0) - 1,"")</f>
        <v/>
      </c>
      <c r="K526" s="19" t="b">
        <v>1</v>
      </c>
      <c r="L526" s="17"/>
      <c r="M526" s="23"/>
    </row>
    <row r="527" spans="2:13" s="10" customFormat="1" ht="25.2" customHeight="1" outlineLevel="1" x14ac:dyDescent="0.45">
      <c r="B527" s="63"/>
      <c r="C527" s="24"/>
      <c r="D527" s="22" t="s">
        <v>553</v>
      </c>
      <c r="E527" s="13" t="s">
        <v>623</v>
      </c>
      <c r="F527" s="13"/>
      <c r="G527" s="13"/>
      <c r="H527" s="14"/>
      <c r="I527" s="20"/>
      <c r="J527" s="15" t="str" cm="1">
        <f t="array" ref="J527">IF(B527&lt;&gt;"",MATCH(TRUE, INDEX((B528:B$9601&lt;&gt;""), 0), 0) - 1,"")</f>
        <v/>
      </c>
      <c r="K527" s="19" t="b">
        <v>1</v>
      </c>
      <c r="L527" s="17"/>
      <c r="M527" s="23"/>
    </row>
    <row r="528" spans="2:13" s="10" customFormat="1" ht="25.2" customHeight="1" outlineLevel="1" x14ac:dyDescent="0.45">
      <c r="B528" s="63"/>
      <c r="C528" s="24"/>
      <c r="D528" s="22" t="s">
        <v>421</v>
      </c>
      <c r="E528" s="13" t="s">
        <v>623</v>
      </c>
      <c r="F528" s="13"/>
      <c r="G528" s="13"/>
      <c r="H528" s="14"/>
      <c r="I528" s="20"/>
      <c r="J528" s="15" t="str" cm="1">
        <f t="array" ref="J528">IF(B528&lt;&gt;"",MATCH(TRUE, INDEX((B529:B$9601&lt;&gt;""), 0), 0) - 1,"")</f>
        <v/>
      </c>
      <c r="K528" s="19" t="b">
        <v>1</v>
      </c>
      <c r="L528" s="17"/>
      <c r="M528" s="23"/>
    </row>
    <row r="529" spans="2:13" s="10" customFormat="1" ht="25.2" customHeight="1" outlineLevel="1" x14ac:dyDescent="0.45">
      <c r="B529" s="63"/>
      <c r="C529" s="24"/>
      <c r="D529" s="22" t="s">
        <v>422</v>
      </c>
      <c r="E529" s="13" t="s">
        <v>623</v>
      </c>
      <c r="F529" s="13"/>
      <c r="G529" s="13"/>
      <c r="H529" s="14"/>
      <c r="I529" s="20"/>
      <c r="J529" s="15" t="str" cm="1">
        <f t="array" ref="J529">IF(B529&lt;&gt;"",MATCH(TRUE, INDEX((B530:B$9601&lt;&gt;""), 0), 0) - 1,"")</f>
        <v/>
      </c>
      <c r="K529" s="19" t="b">
        <v>1</v>
      </c>
      <c r="L529" s="17"/>
      <c r="M529" s="23"/>
    </row>
    <row r="530" spans="2:13" s="10" customFormat="1" ht="25.2" customHeight="1" outlineLevel="1" x14ac:dyDescent="0.45">
      <c r="B530" s="63"/>
      <c r="C530" s="24"/>
      <c r="D530" s="22" t="s">
        <v>423</v>
      </c>
      <c r="E530" s="13" t="s">
        <v>623</v>
      </c>
      <c r="F530" s="13"/>
      <c r="G530" s="13"/>
      <c r="H530" s="14"/>
      <c r="I530" s="20"/>
      <c r="J530" s="15" t="str" cm="1">
        <f t="array" ref="J530">IF(B530&lt;&gt;"",MATCH(TRUE, INDEX((B531:B$9601&lt;&gt;""), 0), 0) - 1,"")</f>
        <v/>
      </c>
      <c r="K530" s="19" t="b">
        <v>1</v>
      </c>
      <c r="L530" s="17"/>
      <c r="M530" s="23"/>
    </row>
    <row r="531" spans="2:13" s="10" customFormat="1" ht="25.2" customHeight="1" x14ac:dyDescent="0.45">
      <c r="B531" s="63">
        <v>38</v>
      </c>
      <c r="C531" s="74" t="s">
        <v>467</v>
      </c>
      <c r="D531" s="22" t="s">
        <v>424</v>
      </c>
      <c r="E531" s="13" t="s">
        <v>623</v>
      </c>
      <c r="F531" s="13"/>
      <c r="G531" s="13"/>
      <c r="H531" s="14" t="str">
        <f>IF(K531=100, "FINISH", IF(K531&gt;0, "IN PROGRESS", IF(K531=0, "SCHED-OK", "")))</f>
        <v>SCHED-OK</v>
      </c>
      <c r="I531" s="20" t="s">
        <v>56</v>
      </c>
      <c r="J531" s="15" cm="1">
        <f t="array" ref="J531">IF(B531&lt;&gt;"",MATCH(TRUE, INDEX((B532:B$9601&lt;&gt;""), 0), 0) - 1,"")</f>
        <v>3</v>
      </c>
      <c r="K531" s="16">
        <f>IF(J531&gt;0, COUNTIF(K532:INDEX(K532:K$9577, J531), TRUE)/J531*100, "")</f>
        <v>0</v>
      </c>
      <c r="L531" s="17" t="s">
        <v>20</v>
      </c>
      <c r="M531" s="18"/>
    </row>
    <row r="532" spans="2:13" s="10" customFormat="1" ht="25.2" customHeight="1" outlineLevel="1" x14ac:dyDescent="0.45">
      <c r="B532" s="63"/>
      <c r="C532" s="24"/>
      <c r="D532" s="22" t="s">
        <v>192</v>
      </c>
      <c r="E532" s="13" t="s">
        <v>623</v>
      </c>
      <c r="F532" s="13"/>
      <c r="G532" s="13"/>
      <c r="H532" s="14"/>
      <c r="I532" s="20"/>
      <c r="J532" s="15" t="str" cm="1">
        <f t="array" ref="J532">IF(B532&lt;&gt;"",MATCH(TRUE, INDEX((B533:B$9601&lt;&gt;""), 0), 0) - 1,"")</f>
        <v/>
      </c>
      <c r="K532" s="19" t="b">
        <v>0</v>
      </c>
      <c r="L532" s="17"/>
      <c r="M532" s="23"/>
    </row>
    <row r="533" spans="2:13" s="10" customFormat="1" ht="25.2" customHeight="1" outlineLevel="1" x14ac:dyDescent="0.45">
      <c r="B533" s="63"/>
      <c r="C533" s="24"/>
      <c r="D533" s="22" t="s">
        <v>193</v>
      </c>
      <c r="E533" s="13" t="s">
        <v>623</v>
      </c>
      <c r="F533" s="13"/>
      <c r="G533" s="13"/>
      <c r="H533" s="14"/>
      <c r="I533" s="20"/>
      <c r="J533" s="15" t="str" cm="1">
        <f t="array" ref="J533">IF(B533&lt;&gt;"",MATCH(TRUE, INDEX((B534:B$9601&lt;&gt;""), 0), 0) - 1,"")</f>
        <v/>
      </c>
      <c r="K533" s="19" t="b">
        <v>0</v>
      </c>
      <c r="L533" s="17"/>
      <c r="M533" s="23"/>
    </row>
    <row r="534" spans="2:13" s="10" customFormat="1" ht="25.2" customHeight="1" outlineLevel="1" x14ac:dyDescent="0.45">
      <c r="B534" s="63"/>
      <c r="C534" s="24"/>
      <c r="D534" s="22" t="s">
        <v>194</v>
      </c>
      <c r="E534" s="13" t="s">
        <v>623</v>
      </c>
      <c r="F534" s="13"/>
      <c r="G534" s="13"/>
      <c r="H534" s="14"/>
      <c r="I534" s="20"/>
      <c r="J534" s="15" t="str" cm="1">
        <f t="array" ref="J534">IF(B534&lt;&gt;"",MATCH(TRUE, INDEX((B535:B$9601&lt;&gt;""), 0), 0) - 1,"")</f>
        <v/>
      </c>
      <c r="K534" s="19" t="b">
        <v>0</v>
      </c>
      <c r="L534" s="17"/>
      <c r="M534" s="23"/>
    </row>
    <row r="535" spans="2:13" s="10" customFormat="1" ht="25.2" customHeight="1" x14ac:dyDescent="0.45">
      <c r="B535" s="63">
        <v>39</v>
      </c>
      <c r="C535" s="74" t="s">
        <v>467</v>
      </c>
      <c r="D535" s="22" t="s">
        <v>425</v>
      </c>
      <c r="E535" s="13" t="s">
        <v>623</v>
      </c>
      <c r="F535" s="13"/>
      <c r="G535" s="13"/>
      <c r="H535" s="14" t="str">
        <f>IF(K535=100, "FINISH", IF(K535&gt;0, "IN PROGRESS", IF(K535=0, "SCHED-OK", "")))</f>
        <v>IN PROGRESS</v>
      </c>
      <c r="I535" s="20" t="s">
        <v>56</v>
      </c>
      <c r="J535" s="15" cm="1">
        <f t="array" ref="J535">IF(B535&lt;&gt;"",MATCH(TRUE, INDEX((B536:B$9601&lt;&gt;""), 0), 0) - 1,"")</f>
        <v>12</v>
      </c>
      <c r="K535" s="16">
        <f>IF(J535&gt;0, COUNTIF(K536:INDEX(K536:K$9577, J535), TRUE)/J535*100, "")</f>
        <v>50</v>
      </c>
      <c r="L535" s="17" t="s">
        <v>20</v>
      </c>
      <c r="M535" s="18"/>
    </row>
    <row r="536" spans="2:13" s="10" customFormat="1" ht="25.2" customHeight="1" outlineLevel="1" x14ac:dyDescent="0.45">
      <c r="B536" s="63"/>
      <c r="C536" s="24"/>
      <c r="D536" s="22" t="s">
        <v>195</v>
      </c>
      <c r="E536" s="13" t="s">
        <v>623</v>
      </c>
      <c r="F536" s="13"/>
      <c r="G536" s="13"/>
      <c r="H536" s="14"/>
      <c r="I536" s="20"/>
      <c r="J536" s="15" t="str" cm="1">
        <f t="array" ref="J536">IF(B536&lt;&gt;"",MATCH(TRUE, INDEX((B537:B$9601&lt;&gt;""), 0), 0) - 1,"")</f>
        <v/>
      </c>
      <c r="K536" s="19" t="b">
        <v>1</v>
      </c>
      <c r="L536" s="17"/>
      <c r="M536" s="23"/>
    </row>
    <row r="537" spans="2:13" s="10" customFormat="1" ht="25.2" customHeight="1" outlineLevel="1" x14ac:dyDescent="0.45">
      <c r="B537" s="63"/>
      <c r="C537" s="24"/>
      <c r="D537" s="22" t="s">
        <v>196</v>
      </c>
      <c r="E537" s="13" t="s">
        <v>623</v>
      </c>
      <c r="F537" s="13"/>
      <c r="G537" s="13"/>
      <c r="H537" s="14"/>
      <c r="I537" s="20"/>
      <c r="J537" s="15" t="str" cm="1">
        <f t="array" ref="J537">IF(B537&lt;&gt;"",MATCH(TRUE, INDEX((B538:B$9601&lt;&gt;""), 0), 0) - 1,"")</f>
        <v/>
      </c>
      <c r="K537" s="19" t="b">
        <v>1</v>
      </c>
      <c r="L537" s="17"/>
      <c r="M537" s="23"/>
    </row>
    <row r="538" spans="2:13" s="10" customFormat="1" ht="25.2" customHeight="1" outlineLevel="1" x14ac:dyDescent="0.45">
      <c r="B538" s="63"/>
      <c r="C538" s="24"/>
      <c r="D538" s="22" t="s">
        <v>197</v>
      </c>
      <c r="E538" s="13" t="s">
        <v>623</v>
      </c>
      <c r="F538" s="13"/>
      <c r="G538" s="13"/>
      <c r="H538" s="14"/>
      <c r="I538" s="20"/>
      <c r="J538" s="15" t="str" cm="1">
        <f t="array" ref="J538">IF(B538&lt;&gt;"",MATCH(TRUE, INDEX((B539:B$9601&lt;&gt;""), 0), 0) - 1,"")</f>
        <v/>
      </c>
      <c r="K538" s="19" t="b">
        <v>1</v>
      </c>
      <c r="L538" s="17"/>
      <c r="M538" s="23"/>
    </row>
    <row r="539" spans="2:13" s="10" customFormat="1" ht="25.2" customHeight="1" outlineLevel="1" x14ac:dyDescent="0.45">
      <c r="B539" s="63"/>
      <c r="C539" s="24"/>
      <c r="D539" s="22" t="s">
        <v>198</v>
      </c>
      <c r="E539" s="13" t="s">
        <v>623</v>
      </c>
      <c r="F539" s="13"/>
      <c r="G539" s="13"/>
      <c r="H539" s="14"/>
      <c r="I539" s="20"/>
      <c r="J539" s="15" t="str" cm="1">
        <f t="array" ref="J539">IF(B539&lt;&gt;"",MATCH(TRUE, INDEX((B540:B$9601&lt;&gt;""), 0), 0) - 1,"")</f>
        <v/>
      </c>
      <c r="K539" s="19" t="b">
        <v>1</v>
      </c>
      <c r="L539" s="17"/>
      <c r="M539" s="23"/>
    </row>
    <row r="540" spans="2:13" s="10" customFormat="1" ht="25.2" customHeight="1" outlineLevel="1" x14ac:dyDescent="0.45">
      <c r="B540" s="63"/>
      <c r="C540" s="24"/>
      <c r="D540" s="22" t="s">
        <v>199</v>
      </c>
      <c r="E540" s="13" t="s">
        <v>623</v>
      </c>
      <c r="F540" s="13"/>
      <c r="G540" s="13"/>
      <c r="H540" s="14"/>
      <c r="I540" s="20"/>
      <c r="J540" s="15" t="str" cm="1">
        <f t="array" ref="J540">IF(B540&lt;&gt;"",MATCH(TRUE, INDEX((B541:B$9601&lt;&gt;""), 0), 0) - 1,"")</f>
        <v/>
      </c>
      <c r="K540" s="19" t="b">
        <v>1</v>
      </c>
      <c r="L540" s="17"/>
      <c r="M540" s="23"/>
    </row>
    <row r="541" spans="2:13" s="10" customFormat="1" ht="25.2" customHeight="1" outlineLevel="1" x14ac:dyDescent="0.45">
      <c r="B541" s="63"/>
      <c r="C541" s="24"/>
      <c r="D541" s="22" t="s">
        <v>200</v>
      </c>
      <c r="E541" s="13" t="s">
        <v>623</v>
      </c>
      <c r="F541" s="13"/>
      <c r="G541" s="13"/>
      <c r="H541" s="14"/>
      <c r="I541" s="20"/>
      <c r="J541" s="15" t="str" cm="1">
        <f t="array" ref="J541">IF(B541&lt;&gt;"",MATCH(TRUE, INDEX((B542:B$9601&lt;&gt;""), 0), 0) - 1,"")</f>
        <v/>
      </c>
      <c r="K541" s="19" t="b">
        <v>1</v>
      </c>
      <c r="L541" s="17"/>
      <c r="M541" s="23"/>
    </row>
    <row r="542" spans="2:13" s="10" customFormat="1" ht="25.2" customHeight="1" outlineLevel="1" x14ac:dyDescent="0.45">
      <c r="B542" s="63"/>
      <c r="C542" s="24"/>
      <c r="D542" s="22" t="s">
        <v>554</v>
      </c>
      <c r="E542" s="13" t="s">
        <v>623</v>
      </c>
      <c r="F542" s="13"/>
      <c r="G542" s="13"/>
      <c r="H542" s="14"/>
      <c r="I542" s="72"/>
      <c r="J542" s="15" t="str" cm="1">
        <f t="array" ref="J542">IF(B542&lt;&gt;"",MATCH(TRUE, INDEX((B543:B$9601&lt;&gt;""), 0), 0) - 1,"")</f>
        <v/>
      </c>
      <c r="K542" s="19" t="b">
        <v>0</v>
      </c>
      <c r="L542" s="17"/>
      <c r="M542" s="23"/>
    </row>
    <row r="543" spans="2:13" s="10" customFormat="1" ht="25.2" customHeight="1" outlineLevel="1" x14ac:dyDescent="0.45">
      <c r="B543" s="63"/>
      <c r="C543" s="24"/>
      <c r="D543" s="22" t="s">
        <v>555</v>
      </c>
      <c r="E543" s="13" t="s">
        <v>623</v>
      </c>
      <c r="F543" s="13"/>
      <c r="G543" s="13"/>
      <c r="H543" s="27"/>
      <c r="I543" s="73"/>
      <c r="J543" s="15" t="str" cm="1">
        <f t="array" ref="J543">IF(B543&lt;&gt;"",MATCH(TRUE, INDEX((B544:B$9601&lt;&gt;""), 0), 0) - 1,"")</f>
        <v/>
      </c>
      <c r="K543" s="19" t="b">
        <v>0</v>
      </c>
      <c r="L543" s="17"/>
      <c r="M543" s="23"/>
    </row>
    <row r="544" spans="2:13" s="10" customFormat="1" ht="25.2" customHeight="1" outlineLevel="1" x14ac:dyDescent="0.45">
      <c r="B544" s="63"/>
      <c r="C544" s="24"/>
      <c r="D544" s="22" t="s">
        <v>556</v>
      </c>
      <c r="E544" s="13" t="s">
        <v>623</v>
      </c>
      <c r="F544" s="13"/>
      <c r="G544" s="13"/>
      <c r="H544" s="14"/>
      <c r="I544" s="71"/>
      <c r="J544" s="15" t="str" cm="1">
        <f t="array" ref="J544">IF(B544&lt;&gt;"",MATCH(TRUE, INDEX((B545:B$9601&lt;&gt;""), 0), 0) - 1,"")</f>
        <v/>
      </c>
      <c r="K544" s="19" t="b">
        <v>0</v>
      </c>
      <c r="L544" s="17"/>
      <c r="M544" s="23"/>
    </row>
    <row r="545" spans="2:13" s="10" customFormat="1" ht="25.2" customHeight="1" outlineLevel="1" x14ac:dyDescent="0.45">
      <c r="B545" s="63"/>
      <c r="C545" s="24"/>
      <c r="D545" s="22" t="s">
        <v>557</v>
      </c>
      <c r="E545" s="13" t="s">
        <v>623</v>
      </c>
      <c r="F545" s="13"/>
      <c r="G545" s="13"/>
      <c r="H545" s="14"/>
      <c r="I545" s="20"/>
      <c r="J545" s="15" t="str" cm="1">
        <f t="array" ref="J545">IF(B545&lt;&gt;"",MATCH(TRUE, INDEX((B546:B$9601&lt;&gt;""), 0), 0) - 1,"")</f>
        <v/>
      </c>
      <c r="K545" s="19" t="b">
        <v>0</v>
      </c>
      <c r="L545" s="17"/>
      <c r="M545" s="23"/>
    </row>
    <row r="546" spans="2:13" s="10" customFormat="1" ht="25.2" customHeight="1" outlineLevel="1" x14ac:dyDescent="0.45">
      <c r="B546" s="63"/>
      <c r="C546" s="24"/>
      <c r="D546" s="22" t="s">
        <v>558</v>
      </c>
      <c r="E546" s="13" t="s">
        <v>623</v>
      </c>
      <c r="F546" s="13"/>
      <c r="G546" s="13"/>
      <c r="H546" s="14"/>
      <c r="I546" s="72"/>
      <c r="J546" s="15" t="str" cm="1">
        <f t="array" ref="J546">IF(B546&lt;&gt;"",MATCH(TRUE, INDEX((B547:B$9601&lt;&gt;""), 0), 0) - 1,"")</f>
        <v/>
      </c>
      <c r="K546" s="19" t="b">
        <v>0</v>
      </c>
      <c r="L546" s="17"/>
      <c r="M546" s="23"/>
    </row>
    <row r="547" spans="2:13" s="10" customFormat="1" ht="25.2" customHeight="1" outlineLevel="1" x14ac:dyDescent="0.45">
      <c r="B547" s="63"/>
      <c r="C547" s="24"/>
      <c r="D547" s="22" t="s">
        <v>559</v>
      </c>
      <c r="E547" s="13" t="s">
        <v>623</v>
      </c>
      <c r="F547" s="13"/>
      <c r="G547" s="13"/>
      <c r="H547" s="14"/>
      <c r="I547" s="72"/>
      <c r="J547" s="15" t="str" cm="1">
        <f t="array" ref="J547">IF(B547&lt;&gt;"",MATCH(TRUE, INDEX((B548:B$9601&lt;&gt;""), 0), 0) - 1,"")</f>
        <v/>
      </c>
      <c r="K547" s="19" t="b">
        <v>0</v>
      </c>
      <c r="L547" s="17"/>
      <c r="M547" s="23"/>
    </row>
    <row r="548" spans="2:13" s="10" customFormat="1" ht="25.2" customHeight="1" x14ac:dyDescent="0.45">
      <c r="B548" s="63">
        <v>40</v>
      </c>
      <c r="C548" s="74" t="s">
        <v>467</v>
      </c>
      <c r="D548" s="22" t="s">
        <v>426</v>
      </c>
      <c r="E548" s="13" t="s">
        <v>623</v>
      </c>
      <c r="F548" s="13"/>
      <c r="G548" s="13"/>
      <c r="H548" s="14" t="str">
        <f>IF(K548=100, "FINISH", IF(K548&gt;0, "IN PROGRESS", IF(K548=0, "SCHED-OK", "")))</f>
        <v>IN PROGRESS</v>
      </c>
      <c r="I548" s="20" t="s">
        <v>31</v>
      </c>
      <c r="J548" s="15" cm="1">
        <f t="array" ref="J548">IF(B548&lt;&gt;"",MATCH(TRUE, INDEX((B549:B$9601&lt;&gt;""), 0), 0) - 1,"")</f>
        <v>19</v>
      </c>
      <c r="K548" s="16">
        <f>IF(J548&gt;0, COUNTIF(K549:INDEX(K549:K$9577, J548), TRUE)/J548*100, "")</f>
        <v>26.315789473684209</v>
      </c>
      <c r="L548" s="17" t="s">
        <v>20</v>
      </c>
      <c r="M548" s="18"/>
    </row>
    <row r="549" spans="2:13" s="10" customFormat="1" ht="25.2" customHeight="1" outlineLevel="1" x14ac:dyDescent="0.45">
      <c r="B549" s="63"/>
      <c r="C549" s="24"/>
      <c r="D549" s="22" t="s">
        <v>560</v>
      </c>
      <c r="E549" s="13" t="s">
        <v>623</v>
      </c>
      <c r="F549" s="13"/>
      <c r="G549" s="13"/>
      <c r="H549" s="14"/>
      <c r="I549" s="20"/>
      <c r="J549" s="15" t="str" cm="1">
        <f t="array" ref="J549">IF(B549&lt;&gt;"",MATCH(TRUE, INDEX((B550:B$9601&lt;&gt;""), 0), 0) - 1,"")</f>
        <v/>
      </c>
      <c r="K549" s="19" t="b">
        <v>0</v>
      </c>
      <c r="L549" s="17"/>
      <c r="M549" s="23"/>
    </row>
    <row r="550" spans="2:13" s="10" customFormat="1" ht="25.2" customHeight="1" outlineLevel="1" x14ac:dyDescent="0.45">
      <c r="B550" s="63"/>
      <c r="C550" s="24"/>
      <c r="D550" s="22" t="s">
        <v>561</v>
      </c>
      <c r="E550" s="13" t="s">
        <v>623</v>
      </c>
      <c r="F550" s="13"/>
      <c r="G550" s="13"/>
      <c r="H550" s="14"/>
      <c r="I550" s="20"/>
      <c r="J550" s="15" t="str" cm="1">
        <f t="array" ref="J550">IF(B550&lt;&gt;"",MATCH(TRUE, INDEX((B552:B$9601&lt;&gt;""), 0), 0) - 1,"")</f>
        <v/>
      </c>
      <c r="K550" s="19" t="b">
        <v>0</v>
      </c>
      <c r="L550" s="17"/>
      <c r="M550" s="23"/>
    </row>
    <row r="551" spans="2:13" s="10" customFormat="1" ht="25.2" customHeight="1" outlineLevel="1" x14ac:dyDescent="0.45">
      <c r="B551" s="63"/>
      <c r="C551" s="24"/>
      <c r="D551" s="22" t="s">
        <v>478</v>
      </c>
      <c r="E551" s="13" t="s">
        <v>623</v>
      </c>
      <c r="F551" s="13"/>
      <c r="G551" s="13"/>
      <c r="H551" s="14"/>
      <c r="I551" s="20"/>
      <c r="J551" s="15"/>
      <c r="K551" s="19" t="b">
        <v>1</v>
      </c>
      <c r="L551" s="17"/>
      <c r="M551" s="23"/>
    </row>
    <row r="552" spans="2:13" s="10" customFormat="1" ht="25.2" customHeight="1" outlineLevel="1" x14ac:dyDescent="0.45">
      <c r="B552" s="63"/>
      <c r="C552" s="24"/>
      <c r="D552" s="22" t="s">
        <v>562</v>
      </c>
      <c r="E552" s="13" t="s">
        <v>623</v>
      </c>
      <c r="F552" s="13"/>
      <c r="G552" s="13"/>
      <c r="H552" s="14"/>
      <c r="I552" s="20"/>
      <c r="J552" s="15" t="str" cm="1">
        <f t="array" ref="J552">IF(B552&lt;&gt;"",MATCH(TRUE, INDEX((B553:B$9601&lt;&gt;""), 0), 0) - 1,"")</f>
        <v/>
      </c>
      <c r="K552" s="19" t="b">
        <v>1</v>
      </c>
      <c r="L552" s="17"/>
      <c r="M552" s="23"/>
    </row>
    <row r="553" spans="2:13" s="10" customFormat="1" ht="25.2" customHeight="1" outlineLevel="1" x14ac:dyDescent="0.45">
      <c r="B553" s="63"/>
      <c r="C553" s="24"/>
      <c r="D553" s="22" t="s">
        <v>563</v>
      </c>
      <c r="E553" s="13" t="s">
        <v>623</v>
      </c>
      <c r="F553" s="13"/>
      <c r="G553" s="13"/>
      <c r="H553" s="14"/>
      <c r="I553" s="20"/>
      <c r="J553" s="15" t="str" cm="1">
        <f t="array" ref="J553">IF(B553&lt;&gt;"",MATCH(TRUE, INDEX((B554:B$9601&lt;&gt;""), 0), 0) - 1,"")</f>
        <v/>
      </c>
      <c r="K553" s="19" t="b">
        <v>1</v>
      </c>
      <c r="L553" s="17"/>
      <c r="M553" s="23"/>
    </row>
    <row r="554" spans="2:13" s="10" customFormat="1" ht="25.2" customHeight="1" outlineLevel="1" x14ac:dyDescent="0.45">
      <c r="B554" s="63"/>
      <c r="C554" s="24"/>
      <c r="D554" s="22" t="s">
        <v>564</v>
      </c>
      <c r="E554" s="13" t="s">
        <v>623</v>
      </c>
      <c r="F554" s="13"/>
      <c r="G554" s="13"/>
      <c r="H554" s="14"/>
      <c r="I554" s="20"/>
      <c r="J554" s="15" t="str" cm="1">
        <f t="array" ref="J554">IF(B554&lt;&gt;"",MATCH(TRUE, INDEX((B555:B$9601&lt;&gt;""), 0), 0) - 1,"")</f>
        <v/>
      </c>
      <c r="K554" s="19" t="b">
        <v>1</v>
      </c>
      <c r="L554" s="17"/>
      <c r="M554" s="23"/>
    </row>
    <row r="555" spans="2:13" s="10" customFormat="1" ht="25.2" customHeight="1" outlineLevel="1" x14ac:dyDescent="0.45">
      <c r="B555" s="63"/>
      <c r="C555" s="24"/>
      <c r="D555" s="22" t="s">
        <v>565</v>
      </c>
      <c r="E555" s="13" t="s">
        <v>623</v>
      </c>
      <c r="F555" s="13"/>
      <c r="G555" s="13"/>
      <c r="H555" s="14"/>
      <c r="I555" s="20"/>
      <c r="J555" s="15" t="str" cm="1">
        <f t="array" ref="J555">IF(B555&lt;&gt;"",MATCH(TRUE, INDEX((B556:B$9601&lt;&gt;""), 0), 0) - 1,"")</f>
        <v/>
      </c>
      <c r="K555" s="19" t="b">
        <v>1</v>
      </c>
      <c r="L555" s="17"/>
      <c r="M555" s="23"/>
    </row>
    <row r="556" spans="2:13" s="10" customFormat="1" ht="25.2" customHeight="1" outlineLevel="1" x14ac:dyDescent="0.45">
      <c r="B556" s="63"/>
      <c r="C556" s="24"/>
      <c r="D556" s="22" t="s">
        <v>566</v>
      </c>
      <c r="E556" s="13" t="s">
        <v>623</v>
      </c>
      <c r="F556" s="13"/>
      <c r="G556" s="13"/>
      <c r="H556" s="14"/>
      <c r="I556" s="20"/>
      <c r="J556" s="15" t="str" cm="1">
        <f t="array" ref="J556">IF(B556&lt;&gt;"",MATCH(TRUE, INDEX((B557:B$9601&lt;&gt;""), 0), 0) - 1,"")</f>
        <v/>
      </c>
      <c r="K556" s="19" t="b">
        <v>0</v>
      </c>
      <c r="L556" s="17"/>
      <c r="M556" s="23"/>
    </row>
    <row r="557" spans="2:13" s="10" customFormat="1" ht="25.2" customHeight="1" outlineLevel="1" x14ac:dyDescent="0.45">
      <c r="B557" s="63"/>
      <c r="C557" s="24"/>
      <c r="D557" s="22" t="s">
        <v>567</v>
      </c>
      <c r="E557" s="13" t="s">
        <v>623</v>
      </c>
      <c r="F557" s="13"/>
      <c r="G557" s="13"/>
      <c r="H557" s="14"/>
      <c r="I557" s="20"/>
      <c r="J557" s="15" t="str" cm="1">
        <f t="array" ref="J557">IF(B557&lt;&gt;"",MATCH(TRUE, INDEX((B558:B$9601&lt;&gt;""), 0), 0) - 1,"")</f>
        <v/>
      </c>
      <c r="K557" s="19" t="b">
        <v>0</v>
      </c>
      <c r="L557" s="17"/>
      <c r="M557" s="23"/>
    </row>
    <row r="558" spans="2:13" s="10" customFormat="1" ht="25.2" customHeight="1" outlineLevel="1" x14ac:dyDescent="0.45">
      <c r="B558" s="63"/>
      <c r="C558" s="24"/>
      <c r="D558" s="22" t="s">
        <v>568</v>
      </c>
      <c r="E558" s="13" t="s">
        <v>623</v>
      </c>
      <c r="F558" s="13"/>
      <c r="G558" s="13"/>
      <c r="H558" s="14"/>
      <c r="I558" s="20"/>
      <c r="J558" s="15" t="str" cm="1">
        <f t="array" ref="J558">IF(B558&lt;&gt;"",MATCH(TRUE, INDEX((B559:B$9601&lt;&gt;""), 0), 0) - 1,"")</f>
        <v/>
      </c>
      <c r="K558" s="19" t="b">
        <v>0</v>
      </c>
      <c r="L558" s="17"/>
      <c r="M558" s="23"/>
    </row>
    <row r="559" spans="2:13" s="10" customFormat="1" ht="25.2" customHeight="1" outlineLevel="1" x14ac:dyDescent="0.45">
      <c r="B559" s="63"/>
      <c r="C559" s="24"/>
      <c r="D559" s="22" t="s">
        <v>569</v>
      </c>
      <c r="E559" s="13" t="s">
        <v>623</v>
      </c>
      <c r="F559" s="13"/>
      <c r="G559" s="13"/>
      <c r="H559" s="14"/>
      <c r="I559" s="20"/>
      <c r="J559" s="15" t="str" cm="1">
        <f t="array" ref="J559">IF(B559&lt;&gt;"",MATCH(TRUE, INDEX((B560:B$9601&lt;&gt;""), 0), 0) - 1,"")</f>
        <v/>
      </c>
      <c r="K559" s="19" t="b">
        <v>0</v>
      </c>
      <c r="L559" s="17"/>
      <c r="M559" s="23"/>
    </row>
    <row r="560" spans="2:13" s="10" customFormat="1" ht="25.2" customHeight="1" outlineLevel="1" x14ac:dyDescent="0.45">
      <c r="B560" s="63"/>
      <c r="C560" s="24"/>
      <c r="D560" s="22" t="s">
        <v>570</v>
      </c>
      <c r="E560" s="13" t="s">
        <v>623</v>
      </c>
      <c r="F560" s="13"/>
      <c r="G560" s="13"/>
      <c r="H560" s="14"/>
      <c r="I560" s="20"/>
      <c r="J560" s="15" t="str" cm="1">
        <f t="array" ref="J560">IF(B560&lt;&gt;"",MATCH(TRUE, INDEX((B561:B$9601&lt;&gt;""), 0), 0) - 1,"")</f>
        <v/>
      </c>
      <c r="K560" s="19" t="b">
        <v>0</v>
      </c>
      <c r="L560" s="17"/>
      <c r="M560" s="23"/>
    </row>
    <row r="561" spans="2:13" s="10" customFormat="1" ht="25.2" customHeight="1" outlineLevel="1" x14ac:dyDescent="0.45">
      <c r="B561" s="63"/>
      <c r="C561" s="24"/>
      <c r="D561" s="22" t="s">
        <v>571</v>
      </c>
      <c r="E561" s="13" t="s">
        <v>623</v>
      </c>
      <c r="F561" s="13"/>
      <c r="G561" s="13"/>
      <c r="H561" s="14"/>
      <c r="I561" s="20"/>
      <c r="J561" s="15" t="str" cm="1">
        <f t="array" ref="J561">IF(B561&lt;&gt;"",MATCH(TRUE, INDEX((B562:B$9601&lt;&gt;""), 0), 0) - 1,"")</f>
        <v/>
      </c>
      <c r="K561" s="19" t="b">
        <v>0</v>
      </c>
      <c r="L561" s="17"/>
      <c r="M561" s="23"/>
    </row>
    <row r="562" spans="2:13" s="10" customFormat="1" ht="25.2" customHeight="1" outlineLevel="1" x14ac:dyDescent="0.45">
      <c r="B562" s="63"/>
      <c r="C562" s="24"/>
      <c r="D562" s="22" t="s">
        <v>572</v>
      </c>
      <c r="E562" s="13" t="s">
        <v>623</v>
      </c>
      <c r="F562" s="13"/>
      <c r="G562" s="13"/>
      <c r="H562" s="14"/>
      <c r="I562" s="20"/>
      <c r="J562" s="15" t="str" cm="1">
        <f t="array" ref="J562">IF(B562&lt;&gt;"",MATCH(TRUE, INDEX((B563:B$9601&lt;&gt;""), 0), 0) - 1,"")</f>
        <v/>
      </c>
      <c r="K562" s="19" t="b">
        <v>0</v>
      </c>
      <c r="L562" s="17"/>
      <c r="M562" s="23"/>
    </row>
    <row r="563" spans="2:13" s="10" customFormat="1" ht="25.2" customHeight="1" outlineLevel="1" x14ac:dyDescent="0.45">
      <c r="B563" s="63"/>
      <c r="C563" s="24"/>
      <c r="D563" s="22" t="s">
        <v>573</v>
      </c>
      <c r="E563" s="13" t="s">
        <v>623</v>
      </c>
      <c r="F563" s="13"/>
      <c r="G563" s="13"/>
      <c r="H563" s="14"/>
      <c r="I563" s="20"/>
      <c r="J563" s="15" t="str" cm="1">
        <f t="array" ref="J563">IF(B563&lt;&gt;"",MATCH(TRUE, INDEX((B564:B$9601&lt;&gt;""), 0), 0) - 1,"")</f>
        <v/>
      </c>
      <c r="K563" s="19" t="b">
        <v>0</v>
      </c>
      <c r="L563" s="17"/>
      <c r="M563" s="23"/>
    </row>
    <row r="564" spans="2:13" s="10" customFormat="1" ht="25.2" customHeight="1" outlineLevel="1" x14ac:dyDescent="0.45">
      <c r="B564" s="63"/>
      <c r="C564" s="24"/>
      <c r="D564" s="22" t="s">
        <v>574</v>
      </c>
      <c r="E564" s="13" t="s">
        <v>623</v>
      </c>
      <c r="F564" s="13"/>
      <c r="G564" s="13"/>
      <c r="H564" s="14"/>
      <c r="I564" s="20"/>
      <c r="J564" s="15" t="str" cm="1">
        <f t="array" ref="J564">IF(B564&lt;&gt;"",MATCH(TRUE, INDEX((B565:B$9601&lt;&gt;""), 0), 0) - 1,"")</f>
        <v/>
      </c>
      <c r="K564" s="19" t="b">
        <v>0</v>
      </c>
      <c r="L564" s="17"/>
      <c r="M564" s="23"/>
    </row>
    <row r="565" spans="2:13" s="10" customFormat="1" ht="25.2" customHeight="1" outlineLevel="1" x14ac:dyDescent="0.45">
      <c r="B565" s="63"/>
      <c r="C565" s="24"/>
      <c r="D565" s="22" t="s">
        <v>575</v>
      </c>
      <c r="E565" s="13" t="s">
        <v>623</v>
      </c>
      <c r="F565" s="13"/>
      <c r="G565" s="13"/>
      <c r="H565" s="14"/>
      <c r="I565" s="20"/>
      <c r="J565" s="15" t="str" cm="1">
        <f t="array" ref="J565">IF(B565&lt;&gt;"",MATCH(TRUE, INDEX((B566:B$9601&lt;&gt;""), 0), 0) - 1,"")</f>
        <v/>
      </c>
      <c r="K565" s="19" t="b">
        <v>0</v>
      </c>
      <c r="L565" s="17"/>
      <c r="M565" s="23"/>
    </row>
    <row r="566" spans="2:13" s="10" customFormat="1" ht="25.2" customHeight="1" outlineLevel="1" x14ac:dyDescent="0.45">
      <c r="B566" s="63"/>
      <c r="C566" s="24"/>
      <c r="D566" s="22" t="s">
        <v>576</v>
      </c>
      <c r="E566" s="13" t="s">
        <v>623</v>
      </c>
      <c r="F566" s="13"/>
      <c r="G566" s="13"/>
      <c r="H566" s="14"/>
      <c r="I566" s="20"/>
      <c r="J566" s="15" t="str" cm="1">
        <f t="array" ref="J566">IF(B566&lt;&gt;"",MATCH(TRUE, INDEX((B567:B$9601&lt;&gt;""), 0), 0) - 1,"")</f>
        <v/>
      </c>
      <c r="K566" s="19" t="b">
        <v>0</v>
      </c>
      <c r="L566" s="17"/>
      <c r="M566" s="23"/>
    </row>
    <row r="567" spans="2:13" s="10" customFormat="1" ht="25.2" customHeight="1" outlineLevel="1" x14ac:dyDescent="0.45">
      <c r="B567" s="63"/>
      <c r="C567" s="24"/>
      <c r="D567" s="22" t="s">
        <v>577</v>
      </c>
      <c r="E567" s="13" t="s">
        <v>623</v>
      </c>
      <c r="F567" s="13"/>
      <c r="G567" s="13"/>
      <c r="H567" s="14"/>
      <c r="I567" s="20"/>
      <c r="J567" s="15" t="str" cm="1">
        <f t="array" ref="J567">IF(B567&lt;&gt;"",MATCH(TRUE, INDEX((B568:B$9601&lt;&gt;""), 0), 0) - 1,"")</f>
        <v/>
      </c>
      <c r="K567" s="19" t="b">
        <v>0</v>
      </c>
      <c r="L567" s="17"/>
      <c r="M567" s="23"/>
    </row>
    <row r="568" spans="2:13" s="10" customFormat="1" ht="25.2" customHeight="1" x14ac:dyDescent="0.45">
      <c r="B568" s="63">
        <v>41</v>
      </c>
      <c r="C568" s="74" t="s">
        <v>467</v>
      </c>
      <c r="D568" s="22" t="s">
        <v>427</v>
      </c>
      <c r="E568" s="13" t="s">
        <v>623</v>
      </c>
      <c r="F568" s="13"/>
      <c r="G568" s="13"/>
      <c r="H568" s="14" t="str">
        <f>IF(K568=100, "FINISH", IF(K568&gt;0, "IN PROGRESS", IF(K568=0, "SCHED-OK", "")))</f>
        <v>IN PROGRESS</v>
      </c>
      <c r="I568" s="20" t="s">
        <v>31</v>
      </c>
      <c r="J568" s="15" cm="1">
        <f t="array" ref="J568">IF(B568&lt;&gt;"",MATCH(TRUE, INDEX((B569:B$9601&lt;&gt;""), 0), 0) - 1,"")</f>
        <v>6</v>
      </c>
      <c r="K568" s="16">
        <f>IF(J568&gt;0, COUNTIF(K569:INDEX(K569:K$9577, J568), TRUE)/J568*100, "")</f>
        <v>16.666666666666664</v>
      </c>
      <c r="L568" s="17" t="s">
        <v>20</v>
      </c>
      <c r="M568" s="18"/>
    </row>
    <row r="569" spans="2:13" s="10" customFormat="1" ht="25.2" customHeight="1" outlineLevel="1" x14ac:dyDescent="0.45">
      <c r="B569" s="63"/>
      <c r="C569" s="24"/>
      <c r="D569" s="22" t="s">
        <v>428</v>
      </c>
      <c r="E569" s="13" t="s">
        <v>623</v>
      </c>
      <c r="F569" s="13"/>
      <c r="G569" s="13"/>
      <c r="H569" s="14"/>
      <c r="I569" s="20"/>
      <c r="J569" s="15" t="str" cm="1">
        <f t="array" ref="J569">IF(B569&lt;&gt;"",MATCH(TRUE, INDEX((B570:B$9601&lt;&gt;""), 0), 0) - 1,"")</f>
        <v/>
      </c>
      <c r="K569" s="19" t="b">
        <v>1</v>
      </c>
      <c r="L569" s="17"/>
      <c r="M569" s="23"/>
    </row>
    <row r="570" spans="2:13" s="10" customFormat="1" ht="25.2" customHeight="1" outlineLevel="1" x14ac:dyDescent="0.45">
      <c r="B570" s="63"/>
      <c r="C570" s="24"/>
      <c r="D570" s="22" t="s">
        <v>578</v>
      </c>
      <c r="E570" s="13" t="s">
        <v>623</v>
      </c>
      <c r="F570" s="13"/>
      <c r="G570" s="13"/>
      <c r="H570" s="14"/>
      <c r="I570" s="20"/>
      <c r="J570" s="15" t="str" cm="1">
        <f t="array" ref="J570">IF(B570&lt;&gt;"",MATCH(TRUE, INDEX((B571:B$9601&lt;&gt;""), 0), 0) - 1,"")</f>
        <v/>
      </c>
      <c r="K570" s="19" t="b">
        <v>0</v>
      </c>
      <c r="L570" s="17"/>
      <c r="M570" s="23"/>
    </row>
    <row r="571" spans="2:13" s="10" customFormat="1" ht="25.2" customHeight="1" outlineLevel="1" x14ac:dyDescent="0.45">
      <c r="B571" s="63"/>
      <c r="C571" s="24"/>
      <c r="D571" s="22" t="s">
        <v>429</v>
      </c>
      <c r="E571" s="13" t="s">
        <v>623</v>
      </c>
      <c r="F571" s="13"/>
      <c r="G571" s="13"/>
      <c r="H571" s="14"/>
      <c r="I571" s="20"/>
      <c r="J571" s="15" t="str" cm="1">
        <f t="array" ref="J571">IF(B571&lt;&gt;"",MATCH(TRUE, INDEX((B572:B$9601&lt;&gt;""), 0), 0) - 1,"")</f>
        <v/>
      </c>
      <c r="K571" s="19" t="b">
        <v>0</v>
      </c>
      <c r="L571" s="17"/>
      <c r="M571" s="23"/>
    </row>
    <row r="572" spans="2:13" s="10" customFormat="1" ht="25.2" customHeight="1" outlineLevel="1" x14ac:dyDescent="0.45">
      <c r="B572" s="63"/>
      <c r="C572" s="24"/>
      <c r="D572" s="22" t="s">
        <v>579</v>
      </c>
      <c r="E572" s="13" t="s">
        <v>623</v>
      </c>
      <c r="F572" s="13"/>
      <c r="G572" s="13"/>
      <c r="H572" s="14"/>
      <c r="I572" s="20"/>
      <c r="J572" s="15" t="str" cm="1">
        <f t="array" ref="J572">IF(B572&lt;&gt;"",MATCH(TRUE, INDEX((B573:B$9601&lt;&gt;""), 0), 0) - 1,"")</f>
        <v/>
      </c>
      <c r="K572" s="19" t="b">
        <v>0</v>
      </c>
      <c r="L572" s="17"/>
      <c r="M572" s="23"/>
    </row>
    <row r="573" spans="2:13" s="10" customFormat="1" ht="25.2" customHeight="1" outlineLevel="1" x14ac:dyDescent="0.45">
      <c r="B573" s="63"/>
      <c r="C573" s="24"/>
      <c r="D573" s="22" t="s">
        <v>430</v>
      </c>
      <c r="E573" s="13" t="s">
        <v>623</v>
      </c>
      <c r="F573" s="13"/>
      <c r="G573" s="13"/>
      <c r="H573" s="14"/>
      <c r="I573" s="20"/>
      <c r="J573" s="15" t="str" cm="1">
        <f t="array" ref="J573">IF(B573&lt;&gt;"",MATCH(TRUE, INDEX((B574:B$9601&lt;&gt;""), 0), 0) - 1,"")</f>
        <v/>
      </c>
      <c r="K573" s="19" t="b">
        <v>0</v>
      </c>
      <c r="L573" s="17"/>
      <c r="M573" s="23"/>
    </row>
    <row r="574" spans="2:13" s="10" customFormat="1" ht="25.2" customHeight="1" outlineLevel="1" x14ac:dyDescent="0.45">
      <c r="B574" s="63"/>
      <c r="C574" s="24"/>
      <c r="D574" s="22" t="s">
        <v>431</v>
      </c>
      <c r="E574" s="13" t="s">
        <v>623</v>
      </c>
      <c r="F574" s="13"/>
      <c r="G574" s="13"/>
      <c r="H574" s="14"/>
      <c r="I574" s="20"/>
      <c r="J574" s="15" t="str" cm="1">
        <f t="array" ref="J574">IF(B574&lt;&gt;"",MATCH(TRUE, INDEX((B575:B$9601&lt;&gt;""), 0), 0) - 1,"")</f>
        <v/>
      </c>
      <c r="K574" s="19" t="b">
        <v>0</v>
      </c>
      <c r="L574" s="17"/>
      <c r="M574" s="23"/>
    </row>
    <row r="575" spans="2:13" s="10" customFormat="1" ht="25.2" customHeight="1" x14ac:dyDescent="0.45">
      <c r="B575" s="63">
        <v>42</v>
      </c>
      <c r="C575" s="74" t="s">
        <v>467</v>
      </c>
      <c r="D575" s="22" t="s">
        <v>432</v>
      </c>
      <c r="E575" s="13" t="s">
        <v>623</v>
      </c>
      <c r="F575" s="13"/>
      <c r="G575" s="13"/>
      <c r="H575" s="14" t="str">
        <f>IF(K575=100, "FINISH", IF(K575&gt;0, "IN PROGRESS", IF(K575=0, "SCHED-OK", "")))</f>
        <v>SCHED-OK</v>
      </c>
      <c r="I575" s="20" t="s">
        <v>40</v>
      </c>
      <c r="J575" s="15" cm="1">
        <f t="array" ref="J575">IF(B575&lt;&gt;"",MATCH(TRUE, INDEX((B576:B$9601&lt;&gt;""), 0), 0) - 1,"")</f>
        <v>4</v>
      </c>
      <c r="K575" s="16">
        <f>IF(J575&gt;0, COUNTIF(K576:INDEX(K576:K$9577, J575), TRUE)/J575*100, "")</f>
        <v>0</v>
      </c>
      <c r="L575" s="17" t="s">
        <v>20</v>
      </c>
      <c r="M575" s="18"/>
    </row>
    <row r="576" spans="2:13" s="10" customFormat="1" ht="25.2" customHeight="1" outlineLevel="1" x14ac:dyDescent="0.45">
      <c r="B576" s="63"/>
      <c r="C576" s="24"/>
      <c r="D576" s="22" t="s">
        <v>201</v>
      </c>
      <c r="E576" s="13" t="s">
        <v>623</v>
      </c>
      <c r="F576" s="13"/>
      <c r="G576" s="13"/>
      <c r="H576" s="14"/>
      <c r="I576" s="20"/>
      <c r="J576" s="15" t="str" cm="1">
        <f t="array" ref="J576">IF(B576&lt;&gt;"",MATCH(TRUE, INDEX((B577:B$9601&lt;&gt;""), 0), 0) - 1,"")</f>
        <v/>
      </c>
      <c r="K576" s="19" t="b">
        <v>0</v>
      </c>
      <c r="L576" s="17"/>
      <c r="M576" s="23"/>
    </row>
    <row r="577" spans="2:13" s="10" customFormat="1" ht="25.2" customHeight="1" outlineLevel="1" x14ac:dyDescent="0.45">
      <c r="B577" s="63"/>
      <c r="C577" s="24"/>
      <c r="D577" s="22" t="s">
        <v>202</v>
      </c>
      <c r="E577" s="13" t="s">
        <v>623</v>
      </c>
      <c r="F577" s="13"/>
      <c r="G577" s="13"/>
      <c r="H577" s="14"/>
      <c r="I577" s="20"/>
      <c r="J577" s="15" t="str" cm="1">
        <f t="array" ref="J577">IF(B577&lt;&gt;"",MATCH(TRUE, INDEX((B578:B$9601&lt;&gt;""), 0), 0) - 1,"")</f>
        <v/>
      </c>
      <c r="K577" s="19" t="b">
        <v>0</v>
      </c>
      <c r="L577" s="17"/>
      <c r="M577" s="23"/>
    </row>
    <row r="578" spans="2:13" s="10" customFormat="1" ht="25.2" customHeight="1" outlineLevel="1" x14ac:dyDescent="0.45">
      <c r="B578" s="63"/>
      <c r="C578" s="24"/>
      <c r="D578" s="22" t="s">
        <v>203</v>
      </c>
      <c r="E578" s="13" t="s">
        <v>623</v>
      </c>
      <c r="F578" s="13"/>
      <c r="G578" s="13"/>
      <c r="H578" s="14"/>
      <c r="I578" s="20"/>
      <c r="J578" s="15" t="str" cm="1">
        <f t="array" ref="J578">IF(B578&lt;&gt;"",MATCH(TRUE, INDEX((B579:B$9601&lt;&gt;""), 0), 0) - 1,"")</f>
        <v/>
      </c>
      <c r="K578" s="19" t="b">
        <v>0</v>
      </c>
      <c r="L578" s="17"/>
      <c r="M578" s="23"/>
    </row>
    <row r="579" spans="2:13" s="10" customFormat="1" ht="25.2" customHeight="1" outlineLevel="1" x14ac:dyDescent="0.45">
      <c r="B579" s="63"/>
      <c r="C579" s="24"/>
      <c r="D579" s="22" t="s">
        <v>204</v>
      </c>
      <c r="E579" s="13" t="s">
        <v>623</v>
      </c>
      <c r="F579" s="13"/>
      <c r="G579" s="13"/>
      <c r="H579" s="14"/>
      <c r="I579" s="20"/>
      <c r="J579" s="15" t="str" cm="1">
        <f t="array" ref="J579">IF(B579&lt;&gt;"",MATCH(TRUE, INDEX((B580:B$9601&lt;&gt;""), 0), 0) - 1,"")</f>
        <v/>
      </c>
      <c r="K579" s="19" t="b">
        <v>0</v>
      </c>
      <c r="L579" s="17"/>
      <c r="M579" s="23"/>
    </row>
    <row r="580" spans="2:13" s="10" customFormat="1" ht="25.2" customHeight="1" x14ac:dyDescent="0.45">
      <c r="B580" s="63">
        <v>43</v>
      </c>
      <c r="C580" s="74" t="s">
        <v>467</v>
      </c>
      <c r="D580" s="22" t="s">
        <v>433</v>
      </c>
      <c r="E580" s="13" t="s">
        <v>623</v>
      </c>
      <c r="F580" s="13"/>
      <c r="G580" s="13"/>
      <c r="H580" s="14" t="str">
        <f>IF(K580=100, "FINISH", IF(K580&gt;0, "IN PROGRESS", IF(K580=0, "SCHED-OK", "")))</f>
        <v>IN PROGRESS</v>
      </c>
      <c r="I580" s="20" t="s">
        <v>40</v>
      </c>
      <c r="J580" s="15" cm="1">
        <f t="array" ref="J580">IF(B580&lt;&gt;"",MATCH(TRUE, INDEX((B581:B$9601&lt;&gt;""), 0), 0) - 1,"")</f>
        <v>12</v>
      </c>
      <c r="K580" s="16">
        <f>IF(J580&gt;0, COUNTIF(K581:INDEX(K581:K$9577, J580), TRUE)/J580*100, "")</f>
        <v>16.666666666666664</v>
      </c>
      <c r="L580" s="17" t="s">
        <v>20</v>
      </c>
      <c r="M580" s="18"/>
    </row>
    <row r="581" spans="2:13" s="10" customFormat="1" ht="25.2" customHeight="1" outlineLevel="1" x14ac:dyDescent="0.45">
      <c r="B581" s="63"/>
      <c r="C581" s="24"/>
      <c r="D581" s="22" t="s">
        <v>580</v>
      </c>
      <c r="E581" s="13" t="s">
        <v>623</v>
      </c>
      <c r="F581" s="13"/>
      <c r="G581" s="13"/>
      <c r="H581" s="14"/>
      <c r="I581" s="20"/>
      <c r="J581" s="15" t="str" cm="1">
        <f t="array" ref="J581">IF(B581&lt;&gt;"",MATCH(TRUE, INDEX((B582:B$9601&lt;&gt;""), 0), 0) - 1,"")</f>
        <v/>
      </c>
      <c r="K581" s="19" t="b">
        <v>0</v>
      </c>
      <c r="L581" s="17"/>
      <c r="M581" s="23"/>
    </row>
    <row r="582" spans="2:13" s="10" customFormat="1" ht="25.2" customHeight="1" outlineLevel="1" x14ac:dyDescent="0.45">
      <c r="B582" s="63"/>
      <c r="C582" s="24"/>
      <c r="D582" s="22" t="s">
        <v>581</v>
      </c>
      <c r="E582" s="13" t="s">
        <v>623</v>
      </c>
      <c r="F582" s="13"/>
      <c r="G582" s="13"/>
      <c r="H582" s="14"/>
      <c r="I582" s="20"/>
      <c r="J582" s="15" t="str" cm="1">
        <f t="array" ref="J582">IF(B582&lt;&gt;"",MATCH(TRUE, INDEX((B583:B$9601&lt;&gt;""), 0), 0) - 1,"")</f>
        <v/>
      </c>
      <c r="K582" s="19" t="b">
        <v>0</v>
      </c>
      <c r="L582" s="17"/>
      <c r="M582" s="23"/>
    </row>
    <row r="583" spans="2:13" s="10" customFormat="1" ht="25.2" customHeight="1" outlineLevel="1" x14ac:dyDescent="0.45">
      <c r="B583" s="63"/>
      <c r="C583" s="24"/>
      <c r="D583" s="22" t="s">
        <v>582</v>
      </c>
      <c r="E583" s="13" t="s">
        <v>623</v>
      </c>
      <c r="F583" s="13"/>
      <c r="G583" s="13"/>
      <c r="H583" s="14"/>
      <c r="I583" s="20"/>
      <c r="J583" s="15" t="str" cm="1">
        <f t="array" ref="J583">IF(B583&lt;&gt;"",MATCH(TRUE, INDEX((B584:B$9601&lt;&gt;""), 0), 0) - 1,"")</f>
        <v/>
      </c>
      <c r="K583" s="19" t="b">
        <v>0</v>
      </c>
      <c r="L583" s="17"/>
      <c r="M583" s="23"/>
    </row>
    <row r="584" spans="2:13" s="10" customFormat="1" ht="25.2" customHeight="1" outlineLevel="1" x14ac:dyDescent="0.45">
      <c r="B584" s="63"/>
      <c r="C584" s="24"/>
      <c r="D584" s="22" t="s">
        <v>583</v>
      </c>
      <c r="E584" s="13" t="s">
        <v>623</v>
      </c>
      <c r="F584" s="13"/>
      <c r="G584" s="13"/>
      <c r="H584" s="14"/>
      <c r="I584" s="20"/>
      <c r="J584" s="15" t="str" cm="1">
        <f t="array" ref="J584">IF(B584&lt;&gt;"",MATCH(TRUE, INDEX((B585:B$9601&lt;&gt;""), 0), 0) - 1,"")</f>
        <v/>
      </c>
      <c r="K584" s="19" t="b">
        <v>0</v>
      </c>
      <c r="L584" s="17"/>
      <c r="M584" s="23"/>
    </row>
    <row r="585" spans="2:13" s="10" customFormat="1" ht="25.2" customHeight="1" outlineLevel="1" x14ac:dyDescent="0.45">
      <c r="B585" s="63"/>
      <c r="C585" s="24"/>
      <c r="D585" s="22" t="s">
        <v>584</v>
      </c>
      <c r="E585" s="13" t="s">
        <v>623</v>
      </c>
      <c r="F585" s="13"/>
      <c r="G585" s="13"/>
      <c r="H585" s="14"/>
      <c r="I585" s="20"/>
      <c r="J585" s="15" t="str" cm="1">
        <f t="array" ref="J585">IF(B585&lt;&gt;"",MATCH(TRUE, INDEX((B586:B$9601&lt;&gt;""), 0), 0) - 1,"")</f>
        <v/>
      </c>
      <c r="K585" s="19" t="b">
        <v>0</v>
      </c>
      <c r="L585" s="17"/>
      <c r="M585" s="23"/>
    </row>
    <row r="586" spans="2:13" s="10" customFormat="1" ht="25.2" customHeight="1" outlineLevel="1" x14ac:dyDescent="0.45">
      <c r="B586" s="63"/>
      <c r="C586" s="24"/>
      <c r="D586" s="22" t="s">
        <v>585</v>
      </c>
      <c r="E586" s="13" t="s">
        <v>623</v>
      </c>
      <c r="F586" s="13"/>
      <c r="G586" s="13"/>
      <c r="H586" s="14"/>
      <c r="I586" s="20"/>
      <c r="J586" s="15" t="str" cm="1">
        <f t="array" ref="J586">IF(B586&lt;&gt;"",MATCH(TRUE, INDEX((B587:B$9601&lt;&gt;""), 0), 0) - 1,"")</f>
        <v/>
      </c>
      <c r="K586" s="19" t="b">
        <v>1</v>
      </c>
      <c r="L586" s="17"/>
      <c r="M586" s="23"/>
    </row>
    <row r="587" spans="2:13" s="10" customFormat="1" ht="25.2" customHeight="1" outlineLevel="1" x14ac:dyDescent="0.45">
      <c r="B587" s="63"/>
      <c r="C587" s="24"/>
      <c r="D587" s="22" t="s">
        <v>586</v>
      </c>
      <c r="E587" s="13" t="s">
        <v>623</v>
      </c>
      <c r="F587" s="13"/>
      <c r="G587" s="13"/>
      <c r="H587" s="14"/>
      <c r="I587" s="20"/>
      <c r="J587" s="15" t="str" cm="1">
        <f t="array" ref="J587">IF(B587&lt;&gt;"",MATCH(TRUE, INDEX((B588:B$9601&lt;&gt;""), 0), 0) - 1,"")</f>
        <v/>
      </c>
      <c r="K587" s="19" t="b">
        <v>1</v>
      </c>
      <c r="L587" s="17"/>
      <c r="M587" s="23"/>
    </row>
    <row r="588" spans="2:13" s="10" customFormat="1" ht="25.2" customHeight="1" outlineLevel="1" x14ac:dyDescent="0.45">
      <c r="B588" s="63"/>
      <c r="C588" s="24"/>
      <c r="D588" s="22" t="s">
        <v>587</v>
      </c>
      <c r="E588" s="13" t="s">
        <v>623</v>
      </c>
      <c r="F588" s="13"/>
      <c r="G588" s="13"/>
      <c r="H588" s="14"/>
      <c r="I588" s="20"/>
      <c r="J588" s="15" t="str" cm="1">
        <f t="array" ref="J588">IF(B588&lt;&gt;"",MATCH(TRUE, INDEX((B589:B$9601&lt;&gt;""), 0), 0) - 1,"")</f>
        <v/>
      </c>
      <c r="K588" s="19" t="b">
        <v>0</v>
      </c>
      <c r="L588" s="17"/>
      <c r="M588" s="23"/>
    </row>
    <row r="589" spans="2:13" s="10" customFormat="1" ht="25.2" customHeight="1" outlineLevel="1" x14ac:dyDescent="0.45">
      <c r="B589" s="63"/>
      <c r="C589" s="24"/>
      <c r="D589" s="22" t="s">
        <v>588</v>
      </c>
      <c r="E589" s="13" t="s">
        <v>623</v>
      </c>
      <c r="F589" s="13"/>
      <c r="G589" s="13"/>
      <c r="H589" s="14"/>
      <c r="I589" s="20"/>
      <c r="J589" s="15" t="str" cm="1">
        <f t="array" ref="J589">IF(B589&lt;&gt;"",MATCH(TRUE, INDEX((B590:B$9601&lt;&gt;""), 0), 0) - 1,"")</f>
        <v/>
      </c>
      <c r="K589" s="19" t="b">
        <v>0</v>
      </c>
      <c r="L589" s="17"/>
      <c r="M589" s="23"/>
    </row>
    <row r="590" spans="2:13" s="10" customFormat="1" ht="25.2" customHeight="1" outlineLevel="1" x14ac:dyDescent="0.45">
      <c r="B590" s="63"/>
      <c r="C590" s="24"/>
      <c r="D590" s="22" t="s">
        <v>589</v>
      </c>
      <c r="E590" s="13" t="s">
        <v>623</v>
      </c>
      <c r="F590" s="13"/>
      <c r="G590" s="13"/>
      <c r="H590" s="14"/>
      <c r="I590" s="20"/>
      <c r="J590" s="15" t="str" cm="1">
        <f t="array" ref="J590">IF(B590&lt;&gt;"",MATCH(TRUE, INDEX((B591:B$9601&lt;&gt;""), 0), 0) - 1,"")</f>
        <v/>
      </c>
      <c r="K590" s="19" t="b">
        <v>0</v>
      </c>
      <c r="L590" s="17"/>
      <c r="M590" s="23"/>
    </row>
    <row r="591" spans="2:13" s="10" customFormat="1" ht="25.2" customHeight="1" outlineLevel="1" x14ac:dyDescent="0.45">
      <c r="B591" s="63"/>
      <c r="C591" s="24"/>
      <c r="D591" s="22" t="s">
        <v>590</v>
      </c>
      <c r="E591" s="13" t="s">
        <v>623</v>
      </c>
      <c r="F591" s="13"/>
      <c r="G591" s="13"/>
      <c r="H591" s="14"/>
      <c r="I591" s="20"/>
      <c r="J591" s="15" t="str" cm="1">
        <f t="array" ref="J591">IF(B591&lt;&gt;"",MATCH(TRUE, INDEX((B592:B$9601&lt;&gt;""), 0), 0) - 1,"")</f>
        <v/>
      </c>
      <c r="K591" s="19" t="b">
        <v>0</v>
      </c>
      <c r="L591" s="17"/>
      <c r="M591" s="23"/>
    </row>
    <row r="592" spans="2:13" s="10" customFormat="1" ht="25.2" customHeight="1" outlineLevel="1" x14ac:dyDescent="0.45">
      <c r="B592" s="63"/>
      <c r="C592" s="24"/>
      <c r="D592" s="22" t="s">
        <v>591</v>
      </c>
      <c r="E592" s="13" t="s">
        <v>623</v>
      </c>
      <c r="F592" s="13"/>
      <c r="G592" s="13"/>
      <c r="H592" s="14"/>
      <c r="I592" s="20"/>
      <c r="J592" s="15" t="str" cm="1">
        <f t="array" ref="J592">IF(B592&lt;&gt;"",MATCH(TRUE, INDEX((B593:B$9601&lt;&gt;""), 0), 0) - 1,"")</f>
        <v/>
      </c>
      <c r="K592" s="19" t="b">
        <v>0</v>
      </c>
      <c r="L592" s="17"/>
      <c r="M592" s="23"/>
    </row>
    <row r="593" spans="2:13" s="10" customFormat="1" ht="25.2" customHeight="1" x14ac:dyDescent="0.45">
      <c r="B593" s="63">
        <v>44</v>
      </c>
      <c r="C593" s="74" t="s">
        <v>467</v>
      </c>
      <c r="D593" s="22" t="s">
        <v>434</v>
      </c>
      <c r="E593" s="13" t="s">
        <v>623</v>
      </c>
      <c r="F593" s="13"/>
      <c r="G593" s="13"/>
      <c r="H593" s="14" t="str">
        <f>IF(K593=100, "FINISH", IF(K593&gt;0, "IN PROGRESS", IF(K593=0, "SCHED-OK", "")))</f>
        <v>SCHED-OK</v>
      </c>
      <c r="I593" s="20" t="s">
        <v>31</v>
      </c>
      <c r="J593" s="15" cm="1">
        <f t="array" ref="J593">IF(B593&lt;&gt;"",MATCH(TRUE, INDEX((B594:B$9601&lt;&gt;""), 0), 0) - 1,"")</f>
        <v>2</v>
      </c>
      <c r="K593" s="16">
        <f>IF(J593&gt;0, COUNTIF(K594:INDEX(K594:K$9577, J593), TRUE)/J593*100, "")</f>
        <v>0</v>
      </c>
      <c r="L593" s="17" t="s">
        <v>20</v>
      </c>
      <c r="M593" s="18"/>
    </row>
    <row r="594" spans="2:13" s="10" customFormat="1" ht="25.2" customHeight="1" outlineLevel="1" x14ac:dyDescent="0.45">
      <c r="B594" s="63"/>
      <c r="C594" s="24"/>
      <c r="D594" s="22" t="s">
        <v>435</v>
      </c>
      <c r="E594" s="13" t="s">
        <v>623</v>
      </c>
      <c r="F594" s="13"/>
      <c r="G594" s="13"/>
      <c r="H594" s="26"/>
      <c r="I594" s="20" t="s">
        <v>43</v>
      </c>
      <c r="J594" s="15" t="str" cm="1">
        <f t="array" ref="J594">IF(B594&lt;&gt;"",MATCH(TRUE, INDEX((B595:B$9601&lt;&gt;""), 0), 0) - 1,"")</f>
        <v/>
      </c>
      <c r="K594" s="19" t="b">
        <v>0</v>
      </c>
      <c r="L594" s="17"/>
      <c r="M594" s="23"/>
    </row>
    <row r="595" spans="2:13" s="10" customFormat="1" ht="25.2" customHeight="1" outlineLevel="1" x14ac:dyDescent="0.45">
      <c r="B595" s="63"/>
      <c r="C595" s="24"/>
      <c r="D595" s="22" t="s">
        <v>436</v>
      </c>
      <c r="E595" s="13" t="s">
        <v>623</v>
      </c>
      <c r="F595" s="13"/>
      <c r="G595" s="13"/>
      <c r="H595" s="26"/>
      <c r="I595" s="20" t="s">
        <v>43</v>
      </c>
      <c r="J595" s="15" t="str" cm="1">
        <f t="array" ref="J595">IF(B595&lt;&gt;"",MATCH(TRUE, INDEX((B596:B$9601&lt;&gt;""), 0), 0) - 1,"")</f>
        <v/>
      </c>
      <c r="K595" s="19" t="b">
        <v>0</v>
      </c>
      <c r="L595" s="17"/>
      <c r="M595" s="23"/>
    </row>
    <row r="596" spans="2:13" s="10" customFormat="1" ht="25.2" customHeight="1" x14ac:dyDescent="0.45">
      <c r="B596" s="63">
        <v>45</v>
      </c>
      <c r="C596" s="74" t="s">
        <v>467</v>
      </c>
      <c r="D596" s="22" t="s">
        <v>437</v>
      </c>
      <c r="E596" s="13" t="s">
        <v>623</v>
      </c>
      <c r="F596" s="13"/>
      <c r="G596" s="13"/>
      <c r="H596" s="14" t="str">
        <f>IF(K596=100, "FINISH", IF(K596&gt;0, "IN PROGRESS", IF(K596=0, "SCHED-OK", "")))</f>
        <v>SCHED-OK</v>
      </c>
      <c r="I596" s="20" t="s">
        <v>19</v>
      </c>
      <c r="J596" s="15" cm="1">
        <f t="array" ref="J596">IF(B596&lt;&gt;"",MATCH(TRUE, INDEX((B597:B$9601&lt;&gt;""), 0), 0) - 1,"")</f>
        <v>4</v>
      </c>
      <c r="K596" s="16">
        <f>IF(J596&gt;0, COUNTIF(K597:INDEX(K597:K$9577, J596), TRUE)/J596*100, "")</f>
        <v>0</v>
      </c>
      <c r="L596" s="17" t="s">
        <v>20</v>
      </c>
      <c r="M596" s="18"/>
    </row>
    <row r="597" spans="2:13" s="10" customFormat="1" ht="25.2" customHeight="1" outlineLevel="1" x14ac:dyDescent="0.45">
      <c r="B597" s="63"/>
      <c r="C597" s="24"/>
      <c r="D597" s="22" t="s">
        <v>205</v>
      </c>
      <c r="E597" s="13" t="s">
        <v>623</v>
      </c>
      <c r="F597" s="13"/>
      <c r="G597" s="13"/>
      <c r="H597" s="14"/>
      <c r="I597" s="20" t="s">
        <v>43</v>
      </c>
      <c r="J597" s="15" t="str" cm="1">
        <f t="array" ref="J597">IF(B597&lt;&gt;"",MATCH(TRUE, INDEX((B598:B$9601&lt;&gt;""), 0), 0) - 1,"")</f>
        <v/>
      </c>
      <c r="K597" s="19" t="b">
        <v>0</v>
      </c>
      <c r="L597" s="17"/>
      <c r="M597" s="23"/>
    </row>
    <row r="598" spans="2:13" s="10" customFormat="1" ht="25.2" customHeight="1" outlineLevel="1" x14ac:dyDescent="0.45">
      <c r="B598" s="63"/>
      <c r="C598" s="24"/>
      <c r="D598" s="22" t="s">
        <v>592</v>
      </c>
      <c r="E598" s="13" t="s">
        <v>623</v>
      </c>
      <c r="F598" s="13"/>
      <c r="G598" s="13"/>
      <c r="H598" s="14"/>
      <c r="I598" s="20" t="s">
        <v>33</v>
      </c>
      <c r="J598" s="15" t="str" cm="1">
        <f t="array" ref="J598">IF(B598&lt;&gt;"",MATCH(TRUE, INDEX((B599:B$9601&lt;&gt;""), 0), 0) - 1,"")</f>
        <v/>
      </c>
      <c r="K598" s="19" t="b">
        <v>0</v>
      </c>
      <c r="L598" s="17"/>
      <c r="M598" s="23"/>
    </row>
    <row r="599" spans="2:13" s="10" customFormat="1" ht="25.2" customHeight="1" outlineLevel="1" x14ac:dyDescent="0.45">
      <c r="B599" s="63"/>
      <c r="C599" s="24"/>
      <c r="D599" s="22" t="s">
        <v>593</v>
      </c>
      <c r="E599" s="13" t="s">
        <v>623</v>
      </c>
      <c r="F599" s="13"/>
      <c r="G599" s="13"/>
      <c r="H599" s="14"/>
      <c r="I599" s="20" t="s">
        <v>33</v>
      </c>
      <c r="J599" s="15" t="str" cm="1">
        <f t="array" ref="J599">IF(B599&lt;&gt;"",MATCH(TRUE, INDEX((B600:B$9601&lt;&gt;""), 0), 0) - 1,"")</f>
        <v/>
      </c>
      <c r="K599" s="19" t="b">
        <v>0</v>
      </c>
      <c r="L599" s="17"/>
      <c r="M599" s="23"/>
    </row>
    <row r="600" spans="2:13" s="10" customFormat="1" ht="25.2" customHeight="1" outlineLevel="1" x14ac:dyDescent="0.45">
      <c r="B600" s="63"/>
      <c r="C600" s="24"/>
      <c r="D600" s="22" t="s">
        <v>594</v>
      </c>
      <c r="E600" s="13" t="s">
        <v>623</v>
      </c>
      <c r="F600" s="13"/>
      <c r="G600" s="13"/>
      <c r="H600" s="14"/>
      <c r="I600" s="20" t="s">
        <v>33</v>
      </c>
      <c r="J600" s="15" t="str" cm="1">
        <f t="array" ref="J600">IF(B600&lt;&gt;"",MATCH(TRUE, INDEX((B601:B$9601&lt;&gt;""), 0), 0) - 1,"")</f>
        <v/>
      </c>
      <c r="K600" s="19" t="b">
        <v>0</v>
      </c>
      <c r="L600" s="17"/>
      <c r="M600" s="23"/>
    </row>
    <row r="601" spans="2:13" s="10" customFormat="1" ht="25.2" customHeight="1" x14ac:dyDescent="0.45">
      <c r="B601" s="63">
        <v>46</v>
      </c>
      <c r="C601" s="74" t="s">
        <v>467</v>
      </c>
      <c r="D601" s="22" t="s">
        <v>438</v>
      </c>
      <c r="E601" s="13" t="s">
        <v>623</v>
      </c>
      <c r="F601" s="13"/>
      <c r="G601" s="13"/>
      <c r="H601" s="14" t="str">
        <f>IF(K601=100, "FINISH", IF(K601&gt;0, "IN PROGRESS", IF(K601=0, "SCHED-OK", "")))</f>
        <v>SCHED-OK</v>
      </c>
      <c r="I601" s="20" t="s">
        <v>19</v>
      </c>
      <c r="J601" s="15" cm="1">
        <f t="array" ref="J601">IF(B601&lt;&gt;"",MATCH(TRUE, INDEX((B602:B$9601&lt;&gt;""), 0), 0) - 1,"")</f>
        <v>8</v>
      </c>
      <c r="K601" s="16">
        <f>IF(J601&gt;0, COUNTIF(K602:INDEX(K602:K$9577, J601), TRUE)/J601*100, "")</f>
        <v>0</v>
      </c>
      <c r="L601" s="17" t="s">
        <v>20</v>
      </c>
      <c r="M601" s="18"/>
    </row>
    <row r="602" spans="2:13" s="10" customFormat="1" ht="25.2" customHeight="1" outlineLevel="1" x14ac:dyDescent="0.45">
      <c r="B602" s="63"/>
      <c r="C602" s="24"/>
      <c r="D602" s="22" t="s">
        <v>206</v>
      </c>
      <c r="E602" s="13" t="s">
        <v>623</v>
      </c>
      <c r="F602" s="13"/>
      <c r="G602" s="13"/>
      <c r="H602" s="14"/>
      <c r="I602" s="20" t="s">
        <v>33</v>
      </c>
      <c r="J602" s="15" t="str" cm="1">
        <f t="array" ref="J602">IF(B602&lt;&gt;"",MATCH(TRUE, INDEX((B603:B$9601&lt;&gt;""), 0), 0) - 1,"")</f>
        <v/>
      </c>
      <c r="K602" s="19" t="b">
        <v>0</v>
      </c>
      <c r="L602" s="17"/>
      <c r="M602" s="23"/>
    </row>
    <row r="603" spans="2:13" s="10" customFormat="1" ht="25.2" customHeight="1" outlineLevel="1" x14ac:dyDescent="0.45">
      <c r="B603" s="63"/>
      <c r="C603" s="24"/>
      <c r="D603" s="22" t="s">
        <v>207</v>
      </c>
      <c r="E603" s="13" t="s">
        <v>623</v>
      </c>
      <c r="F603" s="13"/>
      <c r="G603" s="13"/>
      <c r="H603" s="14"/>
      <c r="I603" s="20" t="s">
        <v>33</v>
      </c>
      <c r="J603" s="15" t="str" cm="1">
        <f t="array" ref="J603">IF(B603&lt;&gt;"",MATCH(TRUE, INDEX((B604:B$9601&lt;&gt;""), 0), 0) - 1,"")</f>
        <v/>
      </c>
      <c r="K603" s="19" t="b">
        <v>0</v>
      </c>
      <c r="L603" s="17"/>
      <c r="M603" s="23"/>
    </row>
    <row r="604" spans="2:13" s="10" customFormat="1" ht="25.2" customHeight="1" outlineLevel="1" x14ac:dyDescent="0.45">
      <c r="B604" s="63"/>
      <c r="C604" s="24"/>
      <c r="D604" s="22" t="s">
        <v>208</v>
      </c>
      <c r="E604" s="13" t="s">
        <v>623</v>
      </c>
      <c r="F604" s="13"/>
      <c r="G604" s="13"/>
      <c r="H604" s="14"/>
      <c r="I604" s="20" t="s">
        <v>33</v>
      </c>
      <c r="J604" s="15" t="str" cm="1">
        <f t="array" ref="J604">IF(B604&lt;&gt;"",MATCH(TRUE, INDEX((B605:B$9601&lt;&gt;""), 0), 0) - 1,"")</f>
        <v/>
      </c>
      <c r="K604" s="19" t="b">
        <v>0</v>
      </c>
      <c r="L604" s="17"/>
      <c r="M604" s="23"/>
    </row>
    <row r="605" spans="2:13" s="10" customFormat="1" ht="25.2" customHeight="1" outlineLevel="1" x14ac:dyDescent="0.45">
      <c r="B605" s="63"/>
      <c r="C605" s="24"/>
      <c r="D605" s="22" t="s">
        <v>209</v>
      </c>
      <c r="E605" s="13" t="s">
        <v>623</v>
      </c>
      <c r="F605" s="13"/>
      <c r="G605" s="13"/>
      <c r="H605" s="14"/>
      <c r="I605" s="20" t="s">
        <v>33</v>
      </c>
      <c r="J605" s="15" t="str" cm="1">
        <f t="array" ref="J605">IF(B605&lt;&gt;"",MATCH(TRUE, INDEX((B606:B$9601&lt;&gt;""), 0), 0) - 1,"")</f>
        <v/>
      </c>
      <c r="K605" s="19" t="b">
        <v>0</v>
      </c>
      <c r="L605" s="17"/>
      <c r="M605" s="23"/>
    </row>
    <row r="606" spans="2:13" s="10" customFormat="1" ht="25.2" customHeight="1" outlineLevel="1" x14ac:dyDescent="0.45">
      <c r="B606" s="63"/>
      <c r="C606" s="24"/>
      <c r="D606" s="22" t="s">
        <v>210</v>
      </c>
      <c r="E606" s="13" t="s">
        <v>623</v>
      </c>
      <c r="F606" s="13"/>
      <c r="G606" s="13"/>
      <c r="H606" s="14"/>
      <c r="I606" s="20" t="s">
        <v>33</v>
      </c>
      <c r="J606" s="15" t="str" cm="1">
        <f t="array" ref="J606">IF(B606&lt;&gt;"",MATCH(TRUE, INDEX((B607:B$9601&lt;&gt;""), 0), 0) - 1,"")</f>
        <v/>
      </c>
      <c r="K606" s="19" t="b">
        <v>0</v>
      </c>
      <c r="L606" s="17"/>
      <c r="M606" s="23"/>
    </row>
    <row r="607" spans="2:13" s="10" customFormat="1" ht="25.2" customHeight="1" outlineLevel="1" x14ac:dyDescent="0.45">
      <c r="B607" s="63"/>
      <c r="C607" s="24"/>
      <c r="D607" s="22" t="s">
        <v>595</v>
      </c>
      <c r="E607" s="13" t="s">
        <v>623</v>
      </c>
      <c r="F607" s="13"/>
      <c r="G607" s="13"/>
      <c r="H607" s="14"/>
      <c r="I607" s="20" t="s">
        <v>43</v>
      </c>
      <c r="J607" s="15" t="str" cm="1">
        <f t="array" ref="J607">IF(B607&lt;&gt;"",MATCH(TRUE, INDEX((B608:B$9601&lt;&gt;""), 0), 0) - 1,"")</f>
        <v/>
      </c>
      <c r="K607" s="19" t="b">
        <v>0</v>
      </c>
      <c r="L607" s="17"/>
      <c r="M607" s="23"/>
    </row>
    <row r="608" spans="2:13" s="10" customFormat="1" ht="25.2" customHeight="1" outlineLevel="1" x14ac:dyDescent="0.45">
      <c r="B608" s="63"/>
      <c r="C608" s="24"/>
      <c r="D608" s="22" t="s">
        <v>596</v>
      </c>
      <c r="E608" s="13" t="s">
        <v>623</v>
      </c>
      <c r="F608" s="13"/>
      <c r="G608" s="13"/>
      <c r="H608" s="14"/>
      <c r="I608" s="20" t="s">
        <v>33</v>
      </c>
      <c r="J608" s="15" t="str" cm="1">
        <f t="array" ref="J608">IF(B608&lt;&gt;"",MATCH(TRUE, INDEX((B609:B$9601&lt;&gt;""), 0), 0) - 1,"")</f>
        <v/>
      </c>
      <c r="K608" s="19" t="b">
        <v>0</v>
      </c>
      <c r="L608" s="17"/>
      <c r="M608" s="23"/>
    </row>
    <row r="609" spans="2:13" s="10" customFormat="1" ht="25.2" customHeight="1" outlineLevel="1" x14ac:dyDescent="0.45">
      <c r="B609" s="63"/>
      <c r="C609" s="24"/>
      <c r="D609" s="22" t="s">
        <v>211</v>
      </c>
      <c r="E609" s="13" t="s">
        <v>623</v>
      </c>
      <c r="F609" s="13"/>
      <c r="G609" s="13"/>
      <c r="H609" s="14"/>
      <c r="I609" s="20" t="s">
        <v>43</v>
      </c>
      <c r="J609" s="15" t="str" cm="1">
        <f t="array" ref="J609">IF(B609&lt;&gt;"",MATCH(TRUE, INDEX((B610:B$9601&lt;&gt;""), 0), 0) - 1,"")</f>
        <v/>
      </c>
      <c r="K609" s="19" t="b">
        <v>0</v>
      </c>
      <c r="L609" s="17"/>
      <c r="M609" s="23"/>
    </row>
    <row r="610" spans="2:13" s="10" customFormat="1" ht="25.2" customHeight="1" x14ac:dyDescent="0.45">
      <c r="B610" s="63">
        <v>47</v>
      </c>
      <c r="C610" s="74" t="s">
        <v>467</v>
      </c>
      <c r="D610" s="22" t="s">
        <v>439</v>
      </c>
      <c r="E610" s="13" t="s">
        <v>623</v>
      </c>
      <c r="F610" s="13"/>
      <c r="G610" s="13"/>
      <c r="H610" s="14" t="str">
        <f>IF(K610=100, "FINISH", IF(K610&gt;0, "IN PROGRESS", IF(K610=0, "SCHED-OK", "")))</f>
        <v>SCHED-OK</v>
      </c>
      <c r="I610" s="20" t="s">
        <v>56</v>
      </c>
      <c r="J610" s="15" cm="1">
        <f t="array" ref="J610">IF(B610&lt;&gt;"",MATCH(TRUE, INDEX((B611:B$9601&lt;&gt;""), 0), 0) - 1,"")</f>
        <v>6</v>
      </c>
      <c r="K610" s="16">
        <f>IF(J610&gt;0, COUNTIF(K611:INDEX(K611:K$9577, J610), TRUE)/J610*100, "")</f>
        <v>0</v>
      </c>
      <c r="L610" s="17" t="s">
        <v>20</v>
      </c>
      <c r="M610" s="18"/>
    </row>
    <row r="611" spans="2:13" s="10" customFormat="1" ht="25.2" customHeight="1" outlineLevel="1" x14ac:dyDescent="0.45">
      <c r="B611" s="63"/>
      <c r="C611" s="24"/>
      <c r="D611" s="83" t="s">
        <v>212</v>
      </c>
      <c r="E611" s="13" t="s">
        <v>623</v>
      </c>
      <c r="F611" s="13"/>
      <c r="G611" s="13"/>
      <c r="H611" s="14"/>
      <c r="I611" s="20" t="s">
        <v>32</v>
      </c>
      <c r="J611" s="15" t="str" cm="1">
        <f t="array" ref="J611">IF(B611&lt;&gt;"",MATCH(TRUE, INDEX((B612:B$9601&lt;&gt;""), 0), 0) - 1,"")</f>
        <v/>
      </c>
      <c r="K611" s="19" t="b">
        <v>0</v>
      </c>
      <c r="L611" s="17"/>
      <c r="M611" s="23"/>
    </row>
    <row r="612" spans="2:13" s="10" customFormat="1" ht="25.2" customHeight="1" outlineLevel="1" x14ac:dyDescent="0.45">
      <c r="B612" s="63"/>
      <c r="C612" s="24"/>
      <c r="D612" s="83" t="s">
        <v>597</v>
      </c>
      <c r="E612" s="13" t="s">
        <v>623</v>
      </c>
      <c r="F612" s="13"/>
      <c r="G612" s="13"/>
      <c r="H612" s="14"/>
      <c r="I612" s="20" t="s">
        <v>43</v>
      </c>
      <c r="J612" s="15" t="str" cm="1">
        <f t="array" ref="J612">IF(B612&lt;&gt;"",MATCH(TRUE, INDEX((B613:B$9601&lt;&gt;""), 0), 0) - 1,"")</f>
        <v/>
      </c>
      <c r="K612" s="19" t="b">
        <v>0</v>
      </c>
      <c r="L612" s="17"/>
      <c r="M612" s="23"/>
    </row>
    <row r="613" spans="2:13" s="10" customFormat="1" ht="25.2" customHeight="1" outlineLevel="1" x14ac:dyDescent="0.45">
      <c r="B613" s="63"/>
      <c r="C613" s="24"/>
      <c r="D613" s="22" t="s">
        <v>598</v>
      </c>
      <c r="E613" s="13" t="s">
        <v>623</v>
      </c>
      <c r="F613" s="13"/>
      <c r="G613" s="13"/>
      <c r="H613" s="14"/>
      <c r="I613" s="20" t="s">
        <v>33</v>
      </c>
      <c r="J613" s="15" t="str" cm="1">
        <f t="array" ref="J613">IF(B613&lt;&gt;"",MATCH(TRUE, INDEX((B614:B$9601&lt;&gt;""), 0), 0) - 1,"")</f>
        <v/>
      </c>
      <c r="K613" s="19" t="b">
        <v>0</v>
      </c>
      <c r="L613" s="17"/>
      <c r="M613" s="23"/>
    </row>
    <row r="614" spans="2:13" s="10" customFormat="1" ht="25.2" customHeight="1" outlineLevel="1" x14ac:dyDescent="0.45">
      <c r="B614" s="63"/>
      <c r="C614" s="24"/>
      <c r="D614" s="22" t="s">
        <v>440</v>
      </c>
      <c r="E614" s="13" t="s">
        <v>623</v>
      </c>
      <c r="F614" s="13"/>
      <c r="G614" s="13"/>
      <c r="H614" s="14"/>
      <c r="I614" s="20" t="s">
        <v>33</v>
      </c>
      <c r="J614" s="15" t="str" cm="1">
        <f t="array" ref="J614">IF(B614&lt;&gt;"",MATCH(TRUE, INDEX((B615:B$9601&lt;&gt;""), 0), 0) - 1,"")</f>
        <v/>
      </c>
      <c r="K614" s="19" t="b">
        <v>0</v>
      </c>
      <c r="L614" s="17"/>
      <c r="M614" s="23"/>
    </row>
    <row r="615" spans="2:13" s="10" customFormat="1" ht="25.2" customHeight="1" outlineLevel="1" x14ac:dyDescent="0.45">
      <c r="B615" s="63"/>
      <c r="C615" s="24"/>
      <c r="D615" s="22" t="s">
        <v>599</v>
      </c>
      <c r="E615" s="13" t="s">
        <v>623</v>
      </c>
      <c r="F615" s="13"/>
      <c r="G615" s="13"/>
      <c r="H615" s="14"/>
      <c r="I615" s="20" t="s">
        <v>33</v>
      </c>
      <c r="J615" s="15" t="str" cm="1">
        <f t="array" ref="J615">IF(B615&lt;&gt;"",MATCH(TRUE, INDEX((B616:B$9601&lt;&gt;""), 0), 0) - 1,"")</f>
        <v/>
      </c>
      <c r="K615" s="19" t="b">
        <v>0</v>
      </c>
      <c r="L615" s="17"/>
      <c r="M615" s="23"/>
    </row>
    <row r="616" spans="2:13" s="10" customFormat="1" ht="25.2" customHeight="1" outlineLevel="1" x14ac:dyDescent="0.45">
      <c r="B616" s="63"/>
      <c r="C616" s="24"/>
      <c r="D616" s="22" t="s">
        <v>441</v>
      </c>
      <c r="E616" s="13" t="s">
        <v>623</v>
      </c>
      <c r="F616" s="13"/>
      <c r="G616" s="13"/>
      <c r="H616" s="14"/>
      <c r="I616" s="20" t="s">
        <v>43</v>
      </c>
      <c r="J616" s="15" t="str" cm="1">
        <f t="array" ref="J616">IF(B616&lt;&gt;"",MATCH(TRUE, INDEX((B617:B$9601&lt;&gt;""), 0), 0) - 1,"")</f>
        <v/>
      </c>
      <c r="K616" s="19" t="b">
        <v>0</v>
      </c>
      <c r="L616" s="17"/>
      <c r="M616" s="23"/>
    </row>
    <row r="617" spans="2:13" s="10" customFormat="1" ht="25.2" customHeight="1" x14ac:dyDescent="0.45">
      <c r="B617" s="63">
        <v>48</v>
      </c>
      <c r="C617" s="74" t="s">
        <v>467</v>
      </c>
      <c r="D617" s="22" t="s">
        <v>442</v>
      </c>
      <c r="E617" s="13" t="s">
        <v>623</v>
      </c>
      <c r="F617" s="13"/>
      <c r="G617" s="13"/>
      <c r="H617" s="14" t="str">
        <f>IF(K617=100, "FINISH", IF(K617&gt;0, "IN PROGRESS", IF(K617=0, "SCHED-OK", "")))</f>
        <v>SCHED-OK</v>
      </c>
      <c r="I617" s="20" t="s">
        <v>40</v>
      </c>
      <c r="J617" s="15" cm="1">
        <f t="array" ref="J617">IF(B617&lt;&gt;"",MATCH(TRUE, INDEX((B618:B$9601&lt;&gt;""), 0), 0) - 1,"")</f>
        <v>7</v>
      </c>
      <c r="K617" s="16">
        <f>IF(J617&gt;0, COUNTIF(K618:INDEX(K618:K$9577, J617), TRUE)/J617*100, "")</f>
        <v>0</v>
      </c>
      <c r="L617" s="17" t="s">
        <v>20</v>
      </c>
      <c r="M617" s="18"/>
    </row>
    <row r="618" spans="2:13" s="10" customFormat="1" ht="25.2" customHeight="1" outlineLevel="1" x14ac:dyDescent="0.45">
      <c r="B618" s="63"/>
      <c r="C618" s="12"/>
      <c r="D618" s="22" t="s">
        <v>600</v>
      </c>
      <c r="E618" s="13" t="s">
        <v>623</v>
      </c>
      <c r="F618" s="13"/>
      <c r="G618" s="13"/>
      <c r="H618" s="14"/>
      <c r="I618" s="20"/>
      <c r="J618" s="15" t="str" cm="1">
        <f t="array" ref="J618">IF(B618&lt;&gt;"",MATCH(TRUE, INDEX((B619:B$9601&lt;&gt;""), 0), 0) - 1,"")</f>
        <v/>
      </c>
      <c r="K618" s="19" t="b">
        <v>0</v>
      </c>
      <c r="L618" s="17"/>
      <c r="M618" s="23"/>
    </row>
    <row r="619" spans="2:13" s="10" customFormat="1" ht="25.2" customHeight="1" outlineLevel="1" x14ac:dyDescent="0.45">
      <c r="B619" s="63"/>
      <c r="C619" s="12"/>
      <c r="D619" s="22" t="s">
        <v>601</v>
      </c>
      <c r="E619" s="13" t="s">
        <v>623</v>
      </c>
      <c r="F619" s="13"/>
      <c r="G619" s="13"/>
      <c r="H619" s="14"/>
      <c r="I619" s="20"/>
      <c r="J619" s="15" t="str" cm="1">
        <f t="array" ref="J619">IF(B619&lt;&gt;"",MATCH(TRUE, INDEX((B620:B$9601&lt;&gt;""), 0), 0) - 1,"")</f>
        <v/>
      </c>
      <c r="K619" s="19" t="b">
        <v>0</v>
      </c>
      <c r="L619" s="17"/>
      <c r="M619" s="23"/>
    </row>
    <row r="620" spans="2:13" s="10" customFormat="1" ht="25.2" customHeight="1" outlineLevel="1" x14ac:dyDescent="0.45">
      <c r="B620" s="63"/>
      <c r="C620" s="12"/>
      <c r="D620" s="22" t="s">
        <v>602</v>
      </c>
      <c r="E620" s="13" t="s">
        <v>623</v>
      </c>
      <c r="F620" s="13"/>
      <c r="G620" s="13"/>
      <c r="H620" s="14"/>
      <c r="I620" s="20"/>
      <c r="J620" s="15" t="str" cm="1">
        <f t="array" ref="J620">IF(B620&lt;&gt;"",MATCH(TRUE, INDEX((B621:B$9601&lt;&gt;""), 0), 0) - 1,"")</f>
        <v/>
      </c>
      <c r="K620" s="19" t="b">
        <v>0</v>
      </c>
      <c r="L620" s="17"/>
      <c r="M620" s="23"/>
    </row>
    <row r="621" spans="2:13" s="10" customFormat="1" ht="25.2" customHeight="1" outlineLevel="1" x14ac:dyDescent="0.45">
      <c r="B621" s="63"/>
      <c r="C621" s="12"/>
      <c r="D621" s="22" t="s">
        <v>603</v>
      </c>
      <c r="E621" s="13" t="s">
        <v>623</v>
      </c>
      <c r="F621" s="13"/>
      <c r="G621" s="13"/>
      <c r="H621" s="14"/>
      <c r="I621" s="20"/>
      <c r="J621" s="15" t="str" cm="1">
        <f t="array" ref="J621">IF(B621&lt;&gt;"",MATCH(TRUE, INDEX((B622:B$9601&lt;&gt;""), 0), 0) - 1,"")</f>
        <v/>
      </c>
      <c r="K621" s="19" t="b">
        <v>0</v>
      </c>
      <c r="L621" s="17"/>
      <c r="M621" s="23"/>
    </row>
    <row r="622" spans="2:13" s="10" customFormat="1" ht="25.2" customHeight="1" outlineLevel="1" x14ac:dyDescent="0.45">
      <c r="B622" s="63"/>
      <c r="C622" s="12"/>
      <c r="D622" s="22" t="s">
        <v>604</v>
      </c>
      <c r="E622" s="13" t="s">
        <v>623</v>
      </c>
      <c r="F622" s="13"/>
      <c r="G622" s="13"/>
      <c r="H622" s="14"/>
      <c r="I622" s="20"/>
      <c r="J622" s="15" t="str" cm="1">
        <f t="array" ref="J622">IF(B622&lt;&gt;"",MATCH(TRUE, INDEX((B623:B$9601&lt;&gt;""), 0), 0) - 1,"")</f>
        <v/>
      </c>
      <c r="K622" s="19" t="b">
        <v>0</v>
      </c>
      <c r="L622" s="17"/>
      <c r="M622" s="23"/>
    </row>
    <row r="623" spans="2:13" s="10" customFormat="1" ht="25.2" customHeight="1" outlineLevel="1" x14ac:dyDescent="0.45">
      <c r="B623" s="63"/>
      <c r="C623" s="12"/>
      <c r="D623" s="22" t="s">
        <v>605</v>
      </c>
      <c r="E623" s="13" t="s">
        <v>623</v>
      </c>
      <c r="F623" s="13"/>
      <c r="G623" s="13"/>
      <c r="H623" s="14"/>
      <c r="I623" s="20"/>
      <c r="J623" s="15" t="str" cm="1">
        <f t="array" ref="J623">IF(B623&lt;&gt;"",MATCH(TRUE, INDEX((B624:B$9601&lt;&gt;""), 0), 0) - 1,"")</f>
        <v/>
      </c>
      <c r="K623" s="19" t="b">
        <v>0</v>
      </c>
      <c r="L623" s="17"/>
      <c r="M623" s="23"/>
    </row>
    <row r="624" spans="2:13" s="10" customFormat="1" ht="25.2" customHeight="1" outlineLevel="1" x14ac:dyDescent="0.45">
      <c r="B624" s="63"/>
      <c r="C624" s="12"/>
      <c r="D624" s="22" t="s">
        <v>606</v>
      </c>
      <c r="E624" s="13" t="s">
        <v>623</v>
      </c>
      <c r="F624" s="13"/>
      <c r="G624" s="13"/>
      <c r="H624" s="14"/>
      <c r="I624" s="20"/>
      <c r="J624" s="15" t="str" cm="1">
        <f t="array" ref="J624">IF(B624&lt;&gt;"",MATCH(TRUE, INDEX((B486:B$9601&lt;&gt;""), 0), 0) - 1,"")</f>
        <v/>
      </c>
      <c r="K624" s="19" t="b">
        <v>0</v>
      </c>
      <c r="L624" s="17"/>
      <c r="M624" s="23"/>
    </row>
    <row r="625" spans="2:13" s="10" customFormat="1" ht="25.2" customHeight="1" x14ac:dyDescent="0.45">
      <c r="B625" s="63">
        <v>49</v>
      </c>
      <c r="C625" s="74" t="s">
        <v>467</v>
      </c>
      <c r="D625" s="22" t="s">
        <v>443</v>
      </c>
      <c r="E625" s="13" t="s">
        <v>623</v>
      </c>
      <c r="F625" s="13"/>
      <c r="G625" s="13"/>
      <c r="H625" s="14" t="str">
        <f>IF(K625=100, "FINISH", IF(K625&gt;0, "IN PROGRESS", IF(K625=0, "SCHED-OK", "")))</f>
        <v>SCHED-OK</v>
      </c>
      <c r="I625" s="20" t="s">
        <v>40</v>
      </c>
      <c r="J625" s="15" cm="1">
        <f t="array" ref="J625">IF(B625&lt;&gt;"",MATCH(TRUE, INDEX((B626:B$9601&lt;&gt;""), 0), 0) - 1,"")</f>
        <v>4</v>
      </c>
      <c r="K625" s="16">
        <f>IF(J625&gt;0, COUNTIF(K626:INDEX(K626:K$9577, J625), TRUE)/J625*100, "")</f>
        <v>0</v>
      </c>
      <c r="L625" s="17" t="s">
        <v>20</v>
      </c>
      <c r="M625" s="18"/>
    </row>
    <row r="626" spans="2:13" s="10" customFormat="1" ht="25.2" customHeight="1" outlineLevel="1" x14ac:dyDescent="0.45">
      <c r="B626" s="63"/>
      <c r="C626" s="24"/>
      <c r="D626" s="22" t="s">
        <v>444</v>
      </c>
      <c r="E626" s="13" t="s">
        <v>623</v>
      </c>
      <c r="F626" s="13"/>
      <c r="G626" s="13"/>
      <c r="H626" s="14"/>
      <c r="I626" s="20" t="s">
        <v>33</v>
      </c>
      <c r="J626" s="15" t="str" cm="1">
        <f t="array" ref="J626">IF(B626&lt;&gt;"",MATCH(TRUE, INDEX((B627:B$9601&lt;&gt;""), 0), 0) - 1,"")</f>
        <v/>
      </c>
      <c r="K626" s="19" t="b">
        <v>0</v>
      </c>
      <c r="L626" s="17"/>
      <c r="M626" s="23"/>
    </row>
    <row r="627" spans="2:13" s="10" customFormat="1" ht="25.2" customHeight="1" outlineLevel="1" x14ac:dyDescent="0.45">
      <c r="B627" s="63"/>
      <c r="C627" s="24"/>
      <c r="D627" s="22" t="s">
        <v>213</v>
      </c>
      <c r="E627" s="13" t="s">
        <v>623</v>
      </c>
      <c r="F627" s="13"/>
      <c r="G627" s="13"/>
      <c r="H627" s="14"/>
      <c r="I627" s="20" t="s">
        <v>43</v>
      </c>
      <c r="J627" s="15" t="str" cm="1">
        <f t="array" ref="J627">IF(B627&lt;&gt;"",MATCH(TRUE, INDEX((B628:B$9601&lt;&gt;""), 0), 0) - 1,"")</f>
        <v/>
      </c>
      <c r="K627" s="19" t="b">
        <v>0</v>
      </c>
      <c r="L627" s="17"/>
      <c r="M627" s="23"/>
    </row>
    <row r="628" spans="2:13" s="10" customFormat="1" ht="25.2" customHeight="1" outlineLevel="1" x14ac:dyDescent="0.45">
      <c r="B628" s="63"/>
      <c r="C628" s="24"/>
      <c r="D628" s="22" t="s">
        <v>445</v>
      </c>
      <c r="E628" s="13" t="s">
        <v>623</v>
      </c>
      <c r="F628" s="13"/>
      <c r="G628" s="13"/>
      <c r="H628" s="14"/>
      <c r="I628" s="20" t="s">
        <v>43</v>
      </c>
      <c r="J628" s="15" t="str" cm="1">
        <f t="array" ref="J628">IF(B628&lt;&gt;"",MATCH(TRUE, INDEX((B629:B$9601&lt;&gt;""), 0), 0) - 1,"")</f>
        <v/>
      </c>
      <c r="K628" s="19" t="b">
        <v>0</v>
      </c>
      <c r="L628" s="17"/>
      <c r="M628" s="23"/>
    </row>
    <row r="629" spans="2:13" s="10" customFormat="1" ht="25.2" customHeight="1" outlineLevel="1" x14ac:dyDescent="0.45">
      <c r="B629" s="63"/>
      <c r="C629" s="24"/>
      <c r="D629" s="22" t="s">
        <v>446</v>
      </c>
      <c r="E629" s="13" t="s">
        <v>623</v>
      </c>
      <c r="F629" s="13"/>
      <c r="G629" s="13"/>
      <c r="H629" s="14"/>
      <c r="I629" s="20"/>
      <c r="J629" s="15" t="str" cm="1">
        <f t="array" ref="J629">IF(B629&lt;&gt;"",MATCH(TRUE, INDEX((B630:B$9601&lt;&gt;""), 0), 0) - 1,"")</f>
        <v/>
      </c>
      <c r="K629" s="19" t="b">
        <v>0</v>
      </c>
      <c r="L629" s="17"/>
      <c r="M629" s="23"/>
    </row>
    <row r="630" spans="2:13" s="10" customFormat="1" ht="25.2" customHeight="1" x14ac:dyDescent="0.45">
      <c r="B630" s="63">
        <v>50</v>
      </c>
      <c r="C630" s="74" t="s">
        <v>467</v>
      </c>
      <c r="D630" s="22" t="s">
        <v>447</v>
      </c>
      <c r="E630" s="13" t="s">
        <v>623</v>
      </c>
      <c r="F630" s="13"/>
      <c r="G630" s="13"/>
      <c r="H630" s="14" t="str">
        <f>IF(K630=100, "FINISH", IF(K630&gt;0, "IN PROGRESS", IF(K630=0, "SCHED-OK", "")))</f>
        <v>SCHED-OK</v>
      </c>
      <c r="I630" s="20" t="s">
        <v>40</v>
      </c>
      <c r="J630" s="15" cm="1">
        <f t="array" ref="J630">IF(B630&lt;&gt;"",MATCH(TRUE, INDEX((B631:B$9601&lt;&gt;""), 0), 0) - 1,"")</f>
        <v>4</v>
      </c>
      <c r="K630" s="16">
        <f>IF(J630&gt;0, COUNTIF(K631:INDEX(K631:K$9577, J630), TRUE)/J630*100, "")</f>
        <v>0</v>
      </c>
      <c r="L630" s="17" t="s">
        <v>20</v>
      </c>
      <c r="M630" s="18"/>
    </row>
    <row r="631" spans="2:13" s="10" customFormat="1" ht="25.2" customHeight="1" outlineLevel="1" x14ac:dyDescent="0.45">
      <c r="B631" s="63"/>
      <c r="C631" s="24"/>
      <c r="D631" s="22" t="s">
        <v>448</v>
      </c>
      <c r="E631" s="13" t="s">
        <v>623</v>
      </c>
      <c r="F631" s="13"/>
      <c r="G631" s="13"/>
      <c r="H631" s="14"/>
      <c r="I631" s="20" t="s">
        <v>33</v>
      </c>
      <c r="J631" s="15" t="str" cm="1">
        <f t="array" ref="J631">IF(B631&lt;&gt;"",MATCH(TRUE, INDEX((B632:B$9601&lt;&gt;""), 0), 0) - 1,"")</f>
        <v/>
      </c>
      <c r="K631" s="19" t="b">
        <v>0</v>
      </c>
      <c r="L631" s="17"/>
      <c r="M631" s="23"/>
    </row>
    <row r="632" spans="2:13" s="10" customFormat="1" ht="25.2" customHeight="1" outlineLevel="1" x14ac:dyDescent="0.45">
      <c r="B632" s="63"/>
      <c r="C632" s="24"/>
      <c r="D632" s="22" t="s">
        <v>214</v>
      </c>
      <c r="E632" s="13" t="s">
        <v>623</v>
      </c>
      <c r="F632" s="13"/>
      <c r="G632" s="13"/>
      <c r="H632" s="14"/>
      <c r="I632" s="20" t="s">
        <v>43</v>
      </c>
      <c r="J632" s="15" t="str" cm="1">
        <f t="array" ref="J632">IF(B632&lt;&gt;"",MATCH(TRUE, INDEX((B633:B$9601&lt;&gt;""), 0), 0) - 1,"")</f>
        <v/>
      </c>
      <c r="K632" s="19" t="b">
        <v>0</v>
      </c>
      <c r="L632" s="17"/>
      <c r="M632" s="23"/>
    </row>
    <row r="633" spans="2:13" s="10" customFormat="1" ht="25.2" customHeight="1" outlineLevel="1" x14ac:dyDescent="0.45">
      <c r="B633" s="63"/>
      <c r="C633" s="24"/>
      <c r="D633" s="22" t="s">
        <v>449</v>
      </c>
      <c r="E633" s="13" t="s">
        <v>623</v>
      </c>
      <c r="F633" s="13"/>
      <c r="G633" s="13"/>
      <c r="H633" s="14"/>
      <c r="I633" s="20" t="s">
        <v>43</v>
      </c>
      <c r="J633" s="15" t="str" cm="1">
        <f t="array" ref="J633">IF(B633&lt;&gt;"",MATCH(TRUE, INDEX((B634:B$9601&lt;&gt;""), 0), 0) - 1,"")</f>
        <v/>
      </c>
      <c r="K633" s="19" t="b">
        <v>0</v>
      </c>
      <c r="L633" s="17"/>
      <c r="M633" s="23"/>
    </row>
    <row r="634" spans="2:13" s="10" customFormat="1" ht="25.2" customHeight="1" outlineLevel="1" x14ac:dyDescent="0.45">
      <c r="B634" s="63"/>
      <c r="C634" s="24"/>
      <c r="D634" s="22" t="s">
        <v>450</v>
      </c>
      <c r="E634" s="13" t="s">
        <v>623</v>
      </c>
      <c r="F634" s="13"/>
      <c r="G634" s="13"/>
      <c r="H634" s="14"/>
      <c r="I634" s="20"/>
      <c r="J634" s="15" t="str" cm="1">
        <f t="array" ref="J634">IF(B634&lt;&gt;"",MATCH(TRUE, INDEX((B635:B$9601&lt;&gt;""), 0), 0) - 1,"")</f>
        <v/>
      </c>
      <c r="K634" s="19" t="b">
        <v>0</v>
      </c>
      <c r="L634" s="17"/>
      <c r="M634" s="23"/>
    </row>
    <row r="635" spans="2:13" s="10" customFormat="1" ht="25.2" customHeight="1" x14ac:dyDescent="0.45">
      <c r="B635" s="63">
        <v>51</v>
      </c>
      <c r="C635" s="74" t="s">
        <v>467</v>
      </c>
      <c r="D635" s="22" t="s">
        <v>451</v>
      </c>
      <c r="E635" s="13" t="s">
        <v>623</v>
      </c>
      <c r="F635" s="13"/>
      <c r="G635" s="13"/>
      <c r="H635" s="14" t="str">
        <f>IF(K635=100, "FINISH", IF(K635&gt;0, "IN PROGRESS", IF(K635=0, "SCHED-OK", "")))</f>
        <v>SCHED-OK</v>
      </c>
      <c r="I635" s="20" t="s">
        <v>215</v>
      </c>
      <c r="J635" s="15" cm="1">
        <f t="array" ref="J635">IF(B635&lt;&gt;"",MATCH(TRUE, INDEX((B636:B$9601&lt;&gt;""), 0), 0) - 1,"")</f>
        <v>5</v>
      </c>
      <c r="K635" s="16">
        <f>IF(J635&gt;0, COUNTIF(K636:INDEX(K636:K$9577, J635), TRUE)/J635*100, "")</f>
        <v>0</v>
      </c>
      <c r="L635" s="17" t="s">
        <v>20</v>
      </c>
      <c r="M635" s="18"/>
    </row>
    <row r="636" spans="2:13" s="10" customFormat="1" ht="25.2" customHeight="1" outlineLevel="1" x14ac:dyDescent="0.45">
      <c r="B636" s="63"/>
      <c r="C636" s="24"/>
      <c r="D636" s="22" t="s">
        <v>607</v>
      </c>
      <c r="E636" s="13" t="s">
        <v>623</v>
      </c>
      <c r="F636" s="13"/>
      <c r="G636" s="13"/>
      <c r="H636" s="14"/>
      <c r="I636" s="20" t="s">
        <v>33</v>
      </c>
      <c r="J636" s="15" t="str" cm="1">
        <f t="array" ref="J636">IF(B636&lt;&gt;"",MATCH(TRUE, INDEX((B637:B$9601&lt;&gt;""), 0), 0) - 1,"")</f>
        <v/>
      </c>
      <c r="K636" s="19" t="b">
        <v>0</v>
      </c>
      <c r="L636" s="17"/>
      <c r="M636" s="23"/>
    </row>
    <row r="637" spans="2:13" s="10" customFormat="1" ht="25.2" customHeight="1" outlineLevel="1" x14ac:dyDescent="0.45">
      <c r="B637" s="63"/>
      <c r="C637" s="24"/>
      <c r="D637" s="22" t="s">
        <v>608</v>
      </c>
      <c r="E637" s="13" t="s">
        <v>623</v>
      </c>
      <c r="F637" s="13"/>
      <c r="G637" s="13"/>
      <c r="H637" s="14"/>
      <c r="I637" s="20" t="s">
        <v>33</v>
      </c>
      <c r="J637" s="15" t="str" cm="1">
        <f t="array" ref="J637">IF(B637&lt;&gt;"",MATCH(TRUE, INDEX((B638:B$9601&lt;&gt;""), 0), 0) - 1,"")</f>
        <v/>
      </c>
      <c r="K637" s="19" t="b">
        <v>0</v>
      </c>
      <c r="L637" s="17"/>
      <c r="M637" s="23"/>
    </row>
    <row r="638" spans="2:13" s="10" customFormat="1" ht="25.2" customHeight="1" outlineLevel="1" x14ac:dyDescent="0.45">
      <c r="B638" s="63"/>
      <c r="C638" s="24"/>
      <c r="D638" s="22" t="s">
        <v>609</v>
      </c>
      <c r="E638" s="13" t="s">
        <v>623</v>
      </c>
      <c r="F638" s="13"/>
      <c r="G638" s="13"/>
      <c r="H638" s="14"/>
      <c r="I638" s="20" t="s">
        <v>33</v>
      </c>
      <c r="J638" s="15" t="str" cm="1">
        <f t="array" ref="J638">IF(B638&lt;&gt;"",MATCH(TRUE, INDEX((B639:B$9601&lt;&gt;""), 0), 0) - 1,"")</f>
        <v/>
      </c>
      <c r="K638" s="19" t="b">
        <v>0</v>
      </c>
      <c r="L638" s="17"/>
      <c r="M638" s="23"/>
    </row>
    <row r="639" spans="2:13" s="10" customFormat="1" ht="25.2" customHeight="1" outlineLevel="1" x14ac:dyDescent="0.45">
      <c r="B639" s="63"/>
      <c r="C639" s="12"/>
      <c r="D639" s="22" t="s">
        <v>610</v>
      </c>
      <c r="E639" s="13" t="s">
        <v>623</v>
      </c>
      <c r="F639" s="13"/>
      <c r="G639" s="13"/>
      <c r="H639" s="14"/>
      <c r="I639" s="20" t="s">
        <v>33</v>
      </c>
      <c r="J639" s="15" t="str" cm="1">
        <f t="array" ref="J639">IF(B639&lt;&gt;"",MATCH(TRUE, INDEX((B640:B$9601&lt;&gt;""), 0), 0) - 1,"")</f>
        <v/>
      </c>
      <c r="K639" s="19" t="b">
        <v>0</v>
      </c>
      <c r="L639" s="17"/>
      <c r="M639" s="18"/>
    </row>
    <row r="640" spans="2:13" s="10" customFormat="1" ht="25.2" customHeight="1" outlineLevel="1" x14ac:dyDescent="0.45">
      <c r="B640" s="63"/>
      <c r="C640" s="12"/>
      <c r="D640" s="22" t="s">
        <v>611</v>
      </c>
      <c r="E640" s="13" t="s">
        <v>623</v>
      </c>
      <c r="F640" s="13"/>
      <c r="G640" s="13"/>
      <c r="H640" s="14"/>
      <c r="I640" s="20" t="s">
        <v>33</v>
      </c>
      <c r="J640" s="15" t="str" cm="1">
        <f t="array" ref="J640">IF(B640&lt;&gt;"",MATCH(TRUE, INDEX((B641:B$9601&lt;&gt;""), 0), 0) - 1,"")</f>
        <v/>
      </c>
      <c r="K640" s="19" t="b">
        <v>0</v>
      </c>
      <c r="L640" s="17"/>
      <c r="M640" s="18"/>
    </row>
    <row r="641" spans="2:13" s="10" customFormat="1" ht="25.2" customHeight="1" x14ac:dyDescent="0.45">
      <c r="B641" s="63">
        <v>52</v>
      </c>
      <c r="C641" s="74" t="s">
        <v>467</v>
      </c>
      <c r="D641" s="22" t="s">
        <v>452</v>
      </c>
      <c r="E641" s="13" t="s">
        <v>623</v>
      </c>
      <c r="F641" s="13"/>
      <c r="G641" s="13"/>
      <c r="H641" s="14" t="str">
        <f>IF(K641=100, "FINISH", IF(K641&gt;0, "IN PROGRESS", IF(K641=0, "SCHED-OK", "")))</f>
        <v>SCHED-OK</v>
      </c>
      <c r="I641" s="20" t="s">
        <v>40</v>
      </c>
      <c r="J641" s="15" cm="1">
        <f t="array" ref="J641">IF(B641&lt;&gt;"",MATCH(TRUE, INDEX((B642:B$9601&lt;&gt;""), 0), 0) - 1,"")</f>
        <v>12</v>
      </c>
      <c r="K641" s="16">
        <f>IF(J641&gt;0, COUNTIF(K642:INDEX(K642:K$9577, J641), TRUE)/J641*100, "")</f>
        <v>0</v>
      </c>
      <c r="L641" s="17" t="s">
        <v>20</v>
      </c>
      <c r="M641" s="18"/>
    </row>
    <row r="642" spans="2:13" s="10" customFormat="1" ht="25.2" customHeight="1" outlineLevel="1" x14ac:dyDescent="0.45">
      <c r="B642" s="63"/>
      <c r="C642" s="24"/>
      <c r="D642" s="22" t="s">
        <v>21</v>
      </c>
      <c r="E642" s="13" t="s">
        <v>623</v>
      </c>
      <c r="F642" s="13"/>
      <c r="G642" s="13"/>
      <c r="H642" s="14"/>
      <c r="I642" s="20" t="s">
        <v>33</v>
      </c>
      <c r="J642" s="15" t="str" cm="1">
        <f t="array" ref="J642">IF(B642&lt;&gt;"",MATCH(TRUE, INDEX((B643:B$9601&lt;&gt;""), 0), 0) - 1,"")</f>
        <v/>
      </c>
      <c r="K642" s="19" t="b">
        <v>0</v>
      </c>
      <c r="L642" s="17"/>
      <c r="M642" s="23"/>
    </row>
    <row r="643" spans="2:13" s="10" customFormat="1" ht="25.2" customHeight="1" outlineLevel="1" x14ac:dyDescent="0.45">
      <c r="B643" s="63"/>
      <c r="C643" s="24"/>
      <c r="D643" s="22" t="s">
        <v>22</v>
      </c>
      <c r="E643" s="13" t="s">
        <v>623</v>
      </c>
      <c r="F643" s="13"/>
      <c r="G643" s="13"/>
      <c r="H643" s="14"/>
      <c r="I643" s="20" t="s">
        <v>33</v>
      </c>
      <c r="J643" s="15" t="str" cm="1">
        <f t="array" ref="J643">IF(B643&lt;&gt;"",MATCH(TRUE, INDEX((B644:B$9601&lt;&gt;""), 0), 0) - 1,"")</f>
        <v/>
      </c>
      <c r="K643" s="19" t="b">
        <v>0</v>
      </c>
      <c r="L643" s="17"/>
      <c r="M643" s="23"/>
    </row>
    <row r="644" spans="2:13" s="10" customFormat="1" ht="25.2" customHeight="1" outlineLevel="1" x14ac:dyDescent="0.45">
      <c r="B644" s="63"/>
      <c r="C644" s="24"/>
      <c r="D644" s="22" t="s">
        <v>24</v>
      </c>
      <c r="E644" s="13" t="s">
        <v>623</v>
      </c>
      <c r="F644" s="13"/>
      <c r="G644" s="13"/>
      <c r="H644" s="14"/>
      <c r="I644" s="20" t="s">
        <v>33</v>
      </c>
      <c r="J644" s="15" t="str" cm="1">
        <f t="array" ref="J644">IF(B644&lt;&gt;"",MATCH(TRUE, INDEX((B645:B$9601&lt;&gt;""), 0), 0) - 1,"")</f>
        <v/>
      </c>
      <c r="K644" s="19" t="b">
        <v>0</v>
      </c>
      <c r="L644" s="17"/>
      <c r="M644" s="23"/>
    </row>
    <row r="645" spans="2:13" s="10" customFormat="1" ht="25.2" customHeight="1" outlineLevel="1" x14ac:dyDescent="0.45">
      <c r="B645" s="63"/>
      <c r="C645" s="24"/>
      <c r="D645" s="22" t="s">
        <v>26</v>
      </c>
      <c r="E645" s="13" t="s">
        <v>623</v>
      </c>
      <c r="F645" s="13"/>
      <c r="G645" s="13"/>
      <c r="H645" s="14"/>
      <c r="I645" s="20" t="s">
        <v>33</v>
      </c>
      <c r="J645" s="15" t="str" cm="1">
        <f t="array" ref="J645">IF(B645&lt;&gt;"",MATCH(TRUE, INDEX((B646:B$9601&lt;&gt;""), 0), 0) - 1,"")</f>
        <v/>
      </c>
      <c r="K645" s="19" t="b">
        <v>0</v>
      </c>
      <c r="L645" s="17"/>
      <c r="M645" s="23"/>
    </row>
    <row r="646" spans="2:13" s="10" customFormat="1" ht="25.2" customHeight="1" outlineLevel="1" x14ac:dyDescent="0.45">
      <c r="B646" s="63"/>
      <c r="C646" s="24"/>
      <c r="D646" s="22" t="s">
        <v>25</v>
      </c>
      <c r="E646" s="13" t="s">
        <v>623</v>
      </c>
      <c r="F646" s="13"/>
      <c r="G646" s="13"/>
      <c r="H646" s="14"/>
      <c r="I646" s="20" t="s">
        <v>33</v>
      </c>
      <c r="J646" s="15" t="str" cm="1">
        <f t="array" ref="J646">IF(B646&lt;&gt;"",MATCH(TRUE, INDEX((B647:B$9601&lt;&gt;""), 0), 0) - 1,"")</f>
        <v/>
      </c>
      <c r="K646" s="19" t="b">
        <v>0</v>
      </c>
      <c r="L646" s="17"/>
      <c r="M646" s="23"/>
    </row>
    <row r="647" spans="2:13" s="10" customFormat="1" ht="25.2" customHeight="1" outlineLevel="1" x14ac:dyDescent="0.45">
      <c r="B647" s="63"/>
      <c r="C647" s="24"/>
      <c r="D647" s="22" t="s">
        <v>27</v>
      </c>
      <c r="E647" s="13" t="s">
        <v>623</v>
      </c>
      <c r="F647" s="13"/>
      <c r="G647" s="13"/>
      <c r="H647" s="14"/>
      <c r="I647" s="20" t="s">
        <v>33</v>
      </c>
      <c r="J647" s="15" t="str" cm="1">
        <f t="array" ref="J647">IF(B647&lt;&gt;"",MATCH(TRUE, INDEX((B648:B$9601&lt;&gt;""), 0), 0) - 1,"")</f>
        <v/>
      </c>
      <c r="K647" s="19" t="b">
        <v>0</v>
      </c>
      <c r="L647" s="17"/>
      <c r="M647" s="23"/>
    </row>
    <row r="648" spans="2:13" s="10" customFormat="1" ht="25.2" customHeight="1" outlineLevel="1" x14ac:dyDescent="0.45">
      <c r="B648" s="63"/>
      <c r="C648" s="24"/>
      <c r="D648" s="22" t="s">
        <v>28</v>
      </c>
      <c r="E648" s="13" t="s">
        <v>623</v>
      </c>
      <c r="F648" s="13"/>
      <c r="G648" s="13"/>
      <c r="H648" s="14"/>
      <c r="I648" s="20" t="s">
        <v>33</v>
      </c>
      <c r="J648" s="15" t="str" cm="1">
        <f t="array" ref="J648">IF(B648&lt;&gt;"",MATCH(TRUE, INDEX((B649:B$9601&lt;&gt;""), 0), 0) - 1,"")</f>
        <v/>
      </c>
      <c r="K648" s="19" t="b">
        <v>0</v>
      </c>
      <c r="L648" s="17"/>
      <c r="M648" s="23"/>
    </row>
    <row r="649" spans="2:13" s="10" customFormat="1" ht="25.2" customHeight="1" outlineLevel="1" x14ac:dyDescent="0.45">
      <c r="B649" s="63"/>
      <c r="C649" s="24"/>
      <c r="D649" s="22" t="s">
        <v>216</v>
      </c>
      <c r="E649" s="13" t="s">
        <v>623</v>
      </c>
      <c r="F649" s="13"/>
      <c r="G649" s="13"/>
      <c r="H649" s="14"/>
      <c r="I649" s="20" t="s">
        <v>33</v>
      </c>
      <c r="J649" s="15" t="str" cm="1">
        <f t="array" ref="J649">IF(B649&lt;&gt;"",MATCH(TRUE, INDEX((B650:B$9601&lt;&gt;""), 0), 0) - 1,"")</f>
        <v/>
      </c>
      <c r="K649" s="19" t="b">
        <v>0</v>
      </c>
      <c r="L649" s="17"/>
      <c r="M649" s="23"/>
    </row>
    <row r="650" spans="2:13" s="10" customFormat="1" ht="25.2" customHeight="1" outlineLevel="1" x14ac:dyDescent="0.45">
      <c r="B650" s="63"/>
      <c r="C650" s="24"/>
      <c r="D650" s="22" t="s">
        <v>612</v>
      </c>
      <c r="E650" s="13" t="s">
        <v>623</v>
      </c>
      <c r="F650" s="13"/>
      <c r="G650" s="13"/>
      <c r="H650" s="14"/>
      <c r="I650" s="20" t="s">
        <v>33</v>
      </c>
      <c r="J650" s="15" t="str" cm="1">
        <f t="array" ref="J650">IF(B650&lt;&gt;"",MATCH(TRUE, INDEX((B651:B$9601&lt;&gt;""), 0), 0) - 1,"")</f>
        <v/>
      </c>
      <c r="K650" s="19" t="b">
        <v>0</v>
      </c>
      <c r="L650" s="17"/>
      <c r="M650" s="23"/>
    </row>
    <row r="651" spans="2:13" s="10" customFormat="1" ht="25.2" customHeight="1" outlineLevel="1" x14ac:dyDescent="0.45">
      <c r="B651" s="63"/>
      <c r="C651" s="24"/>
      <c r="D651" s="22" t="s">
        <v>613</v>
      </c>
      <c r="E651" s="13" t="s">
        <v>623</v>
      </c>
      <c r="F651" s="13"/>
      <c r="G651" s="13"/>
      <c r="H651" s="14"/>
      <c r="I651" s="20" t="s">
        <v>43</v>
      </c>
      <c r="J651" s="15" t="str" cm="1">
        <f t="array" ref="J651">IF(B651&lt;&gt;"",MATCH(TRUE, INDEX((B652:B$9601&lt;&gt;""), 0), 0) - 1,"")</f>
        <v/>
      </c>
      <c r="K651" s="19" t="b">
        <v>0</v>
      </c>
      <c r="L651" s="17"/>
      <c r="M651" s="23"/>
    </row>
    <row r="652" spans="2:13" s="10" customFormat="1" ht="25.2" customHeight="1" outlineLevel="1" x14ac:dyDescent="0.45">
      <c r="B652" s="63"/>
      <c r="C652" s="24"/>
      <c r="D652" s="83" t="s">
        <v>614</v>
      </c>
      <c r="E652" s="13" t="s">
        <v>623</v>
      </c>
      <c r="F652" s="13"/>
      <c r="G652" s="13"/>
      <c r="H652" s="14"/>
      <c r="I652" s="20" t="s">
        <v>43</v>
      </c>
      <c r="J652" s="15" t="str" cm="1">
        <f t="array" ref="J652">IF(B652&lt;&gt;"",MATCH(TRUE, INDEX((B653:B$9601&lt;&gt;""), 0), 0) - 1,"")</f>
        <v/>
      </c>
      <c r="K652" s="19" t="b">
        <v>0</v>
      </c>
      <c r="L652" s="17"/>
      <c r="M652" s="23"/>
    </row>
    <row r="653" spans="2:13" s="10" customFormat="1" ht="25.2" customHeight="1" outlineLevel="1" x14ac:dyDescent="0.45">
      <c r="B653" s="63"/>
      <c r="C653" s="24"/>
      <c r="D653" s="83" t="s">
        <v>217</v>
      </c>
      <c r="E653" s="13" t="s">
        <v>623</v>
      </c>
      <c r="F653" s="13"/>
      <c r="G653" s="13"/>
      <c r="H653" s="14"/>
      <c r="I653" s="20" t="s">
        <v>43</v>
      </c>
      <c r="J653" s="15" t="str" cm="1">
        <f t="array" ref="J653">IF(B653&lt;&gt;"",MATCH(TRUE, INDEX((B654:B$9601&lt;&gt;""), 0), 0) - 1,"")</f>
        <v/>
      </c>
      <c r="K653" s="19" t="b">
        <v>0</v>
      </c>
      <c r="L653" s="17"/>
      <c r="M653" s="23"/>
    </row>
    <row r="654" spans="2:13" s="10" customFormat="1" ht="25.2" customHeight="1" x14ac:dyDescent="0.45">
      <c r="B654" s="63">
        <v>53</v>
      </c>
      <c r="C654" s="74" t="s">
        <v>467</v>
      </c>
      <c r="D654" s="22" t="s">
        <v>453</v>
      </c>
      <c r="E654" s="13" t="s">
        <v>623</v>
      </c>
      <c r="F654" s="13"/>
      <c r="G654" s="13"/>
      <c r="H654" s="14" t="str">
        <f>IF(K654=100, "FINISH", IF(K654&gt;0, "IN PROGRESS", IF(K654=0, "SCHED-OK", "")))</f>
        <v>SCHED-OK</v>
      </c>
      <c r="I654" s="20" t="s">
        <v>40</v>
      </c>
      <c r="J654" s="15" cm="1">
        <f t="array" ref="J654">IF(B654&lt;&gt;"",MATCH(TRUE, INDEX((B655:B$9601&lt;&gt;""), 0), 0) - 1,"")</f>
        <v>9</v>
      </c>
      <c r="K654" s="16">
        <f>IF(J654&gt;0, COUNTIF(K655:INDEX(K655:K$9577, J654), TRUE)/J654*100, "")</f>
        <v>0</v>
      </c>
      <c r="L654" s="17" t="s">
        <v>20</v>
      </c>
      <c r="M654" s="18"/>
    </row>
    <row r="655" spans="2:13" s="10" customFormat="1" ht="25.2" customHeight="1" outlineLevel="1" x14ac:dyDescent="0.45">
      <c r="B655" s="63"/>
      <c r="C655" s="24"/>
      <c r="D655" s="22" t="s">
        <v>21</v>
      </c>
      <c r="E655" s="13" t="s">
        <v>623</v>
      </c>
      <c r="F655" s="13"/>
      <c r="G655" s="13"/>
      <c r="H655" s="14"/>
      <c r="I655" s="20" t="s">
        <v>33</v>
      </c>
      <c r="J655" s="15" t="str" cm="1">
        <f t="array" ref="J655">IF(B655&lt;&gt;"",MATCH(TRUE, INDEX((B656:B$9601&lt;&gt;""), 0), 0) - 1,"")</f>
        <v/>
      </c>
      <c r="K655" s="19" t="b">
        <v>0</v>
      </c>
      <c r="L655" s="17"/>
      <c r="M655" s="23"/>
    </row>
    <row r="656" spans="2:13" s="10" customFormat="1" ht="25.2" customHeight="1" outlineLevel="1" x14ac:dyDescent="0.45">
      <c r="B656" s="63"/>
      <c r="C656" s="24"/>
      <c r="D656" s="22" t="s">
        <v>22</v>
      </c>
      <c r="E656" s="13" t="s">
        <v>623</v>
      </c>
      <c r="F656" s="13"/>
      <c r="G656" s="13"/>
      <c r="H656" s="14"/>
      <c r="I656" s="20" t="s">
        <v>33</v>
      </c>
      <c r="J656" s="15" t="str" cm="1">
        <f t="array" ref="J656">IF(B656&lt;&gt;"",MATCH(TRUE, INDEX((B657:B$9601&lt;&gt;""), 0), 0) - 1,"")</f>
        <v/>
      </c>
      <c r="K656" s="19" t="b">
        <v>0</v>
      </c>
      <c r="L656" s="17"/>
      <c r="M656" s="23"/>
    </row>
    <row r="657" spans="2:13" s="10" customFormat="1" ht="25.2" customHeight="1" outlineLevel="1" x14ac:dyDescent="0.45">
      <c r="B657" s="63"/>
      <c r="C657" s="24"/>
      <c r="D657" s="22" t="s">
        <v>24</v>
      </c>
      <c r="E657" s="13" t="s">
        <v>623</v>
      </c>
      <c r="F657" s="13"/>
      <c r="G657" s="13"/>
      <c r="H657" s="14"/>
      <c r="I657" s="20" t="s">
        <v>33</v>
      </c>
      <c r="J657" s="15" t="str" cm="1">
        <f t="array" ref="J657">IF(B657&lt;&gt;"",MATCH(TRUE, INDEX((B658:B$9601&lt;&gt;""), 0), 0) - 1,"")</f>
        <v/>
      </c>
      <c r="K657" s="19" t="b">
        <v>0</v>
      </c>
      <c r="L657" s="17"/>
      <c r="M657" s="23"/>
    </row>
    <row r="658" spans="2:13" s="10" customFormat="1" ht="25.2" customHeight="1" outlineLevel="1" x14ac:dyDescent="0.45">
      <c r="B658" s="63"/>
      <c r="C658" s="24"/>
      <c r="D658" s="22" t="s">
        <v>26</v>
      </c>
      <c r="E658" s="13" t="s">
        <v>623</v>
      </c>
      <c r="F658" s="13"/>
      <c r="G658" s="13"/>
      <c r="H658" s="14"/>
      <c r="I658" s="20" t="s">
        <v>33</v>
      </c>
      <c r="J658" s="15" t="str" cm="1">
        <f t="array" ref="J658">IF(B658&lt;&gt;"",MATCH(TRUE, INDEX((B659:B$9601&lt;&gt;""), 0), 0) - 1,"")</f>
        <v/>
      </c>
      <c r="K658" s="19" t="b">
        <v>0</v>
      </c>
      <c r="L658" s="17"/>
      <c r="M658" s="23"/>
    </row>
    <row r="659" spans="2:13" s="10" customFormat="1" ht="25.2" customHeight="1" outlineLevel="1" x14ac:dyDescent="0.45">
      <c r="B659" s="63"/>
      <c r="C659" s="24"/>
      <c r="D659" s="22" t="s">
        <v>25</v>
      </c>
      <c r="E659" s="13" t="s">
        <v>623</v>
      </c>
      <c r="F659" s="13"/>
      <c r="G659" s="13"/>
      <c r="H659" s="14"/>
      <c r="I659" s="20" t="s">
        <v>33</v>
      </c>
      <c r="J659" s="15" t="str" cm="1">
        <f t="array" ref="J659">IF(B659&lt;&gt;"",MATCH(TRUE, INDEX((B660:B$9601&lt;&gt;""), 0), 0) - 1,"")</f>
        <v/>
      </c>
      <c r="K659" s="19" t="b">
        <v>0</v>
      </c>
      <c r="L659" s="17"/>
      <c r="M659" s="23"/>
    </row>
    <row r="660" spans="2:13" s="10" customFormat="1" ht="25.2" customHeight="1" outlineLevel="1" x14ac:dyDescent="0.45">
      <c r="B660" s="63"/>
      <c r="C660" s="24"/>
      <c r="D660" s="22" t="s">
        <v>27</v>
      </c>
      <c r="E660" s="13" t="s">
        <v>623</v>
      </c>
      <c r="F660" s="13"/>
      <c r="G660" s="13"/>
      <c r="H660" s="14"/>
      <c r="I660" s="20" t="s">
        <v>33</v>
      </c>
      <c r="J660" s="15" t="str" cm="1">
        <f t="array" ref="J660">IF(B660&lt;&gt;"",MATCH(TRUE, INDEX((B661:B$9601&lt;&gt;""), 0), 0) - 1,"")</f>
        <v/>
      </c>
      <c r="K660" s="19" t="b">
        <v>0</v>
      </c>
      <c r="L660" s="17"/>
      <c r="M660" s="23"/>
    </row>
    <row r="661" spans="2:13" s="10" customFormat="1" ht="25.2" customHeight="1" outlineLevel="1" x14ac:dyDescent="0.45">
      <c r="B661" s="63"/>
      <c r="C661" s="24"/>
      <c r="D661" s="22" t="s">
        <v>28</v>
      </c>
      <c r="E661" s="13" t="s">
        <v>623</v>
      </c>
      <c r="F661" s="13"/>
      <c r="G661" s="13"/>
      <c r="H661" s="14"/>
      <c r="I661" s="20" t="s">
        <v>33</v>
      </c>
      <c r="J661" s="15" t="str" cm="1">
        <f t="array" ref="J661">IF(B661&lt;&gt;"",MATCH(TRUE, INDEX((B662:B$9601&lt;&gt;""), 0), 0) - 1,"")</f>
        <v/>
      </c>
      <c r="K661" s="19" t="b">
        <v>0</v>
      </c>
      <c r="L661" s="17"/>
      <c r="M661" s="23"/>
    </row>
    <row r="662" spans="2:13" s="10" customFormat="1" ht="25.2" customHeight="1" outlineLevel="1" x14ac:dyDescent="0.45">
      <c r="B662" s="63"/>
      <c r="C662" s="24"/>
      <c r="D662" s="22" t="s">
        <v>216</v>
      </c>
      <c r="E662" s="13" t="s">
        <v>623</v>
      </c>
      <c r="F662" s="13"/>
      <c r="G662" s="13"/>
      <c r="H662" s="14"/>
      <c r="I662" s="20" t="s">
        <v>33</v>
      </c>
      <c r="J662" s="15" t="str" cm="1">
        <f t="array" ref="J662">IF(B662&lt;&gt;"",MATCH(TRUE, INDEX((B663:B$9601&lt;&gt;""), 0), 0) - 1,"")</f>
        <v/>
      </c>
      <c r="K662" s="19" t="b">
        <v>0</v>
      </c>
      <c r="L662" s="17"/>
      <c r="M662" s="23"/>
    </row>
    <row r="663" spans="2:13" s="10" customFormat="1" ht="25.2" customHeight="1" outlineLevel="1" x14ac:dyDescent="0.45">
      <c r="B663" s="63"/>
      <c r="C663" s="24"/>
      <c r="D663" s="83" t="s">
        <v>217</v>
      </c>
      <c r="E663" s="13" t="s">
        <v>623</v>
      </c>
      <c r="F663" s="13"/>
      <c r="G663" s="13"/>
      <c r="H663" s="14"/>
      <c r="I663" s="20" t="s">
        <v>43</v>
      </c>
      <c r="J663" s="15" t="str" cm="1">
        <f t="array" ref="J663">IF(B663&lt;&gt;"",MATCH(TRUE, INDEX((B664:B$9601&lt;&gt;""), 0), 0) - 1,"")</f>
        <v/>
      </c>
      <c r="K663" s="19" t="b">
        <v>0</v>
      </c>
      <c r="L663" s="17"/>
      <c r="M663" s="23"/>
    </row>
    <row r="664" spans="2:13" s="10" customFormat="1" ht="25.2" customHeight="1" x14ac:dyDescent="0.45">
      <c r="B664" s="63">
        <v>54</v>
      </c>
      <c r="C664" s="74" t="s">
        <v>467</v>
      </c>
      <c r="D664" s="22" t="s">
        <v>454</v>
      </c>
      <c r="E664" s="13" t="s">
        <v>623</v>
      </c>
      <c r="F664" s="13"/>
      <c r="G664" s="13"/>
      <c r="H664" s="14" t="str">
        <f>IF(K664=100, "FINISH", IF(K664&gt;0, "IN PROGRESS", IF(K664=0, "SCHED-OK", "")))</f>
        <v>IN PROGRESS</v>
      </c>
      <c r="I664" s="20" t="s">
        <v>40</v>
      </c>
      <c r="J664" s="15" cm="1">
        <f t="array" ref="J664">IF(B664&lt;&gt;"",MATCH(TRUE, INDEX((B665:B$9601&lt;&gt;""), 0), 0) - 1,"")</f>
        <v>13</v>
      </c>
      <c r="K664" s="16">
        <f>IF(J664&gt;0, COUNTIF(K665:INDEX(K665:K$9577, J664), TRUE)/J664*100, "")</f>
        <v>53.846153846153847</v>
      </c>
      <c r="L664" s="17" t="s">
        <v>20</v>
      </c>
      <c r="M664" s="18"/>
    </row>
    <row r="665" spans="2:13" s="10" customFormat="1" ht="25.2" customHeight="1" outlineLevel="1" x14ac:dyDescent="0.45">
      <c r="B665" s="63"/>
      <c r="C665" s="24"/>
      <c r="D665" s="22" t="s">
        <v>218</v>
      </c>
      <c r="E665" s="13" t="s">
        <v>623</v>
      </c>
      <c r="F665" s="13"/>
      <c r="G665" s="13"/>
      <c r="H665" s="14"/>
      <c r="I665" s="20" t="s">
        <v>43</v>
      </c>
      <c r="J665" s="15" t="str" cm="1">
        <f t="array" ref="J665">IF(B665&lt;&gt;"",MATCH(TRUE, INDEX((B666:B$9601&lt;&gt;""), 0), 0) - 1,"")</f>
        <v/>
      </c>
      <c r="K665" s="19" t="b">
        <v>1</v>
      </c>
      <c r="L665" s="17"/>
      <c r="M665" s="23"/>
    </row>
    <row r="666" spans="2:13" s="10" customFormat="1" ht="25.2" customHeight="1" outlineLevel="1" x14ac:dyDescent="0.45">
      <c r="B666" s="63"/>
      <c r="C666" s="24"/>
      <c r="D666" s="22" t="s">
        <v>219</v>
      </c>
      <c r="E666" s="13" t="s">
        <v>623</v>
      </c>
      <c r="F666" s="13"/>
      <c r="G666" s="13"/>
      <c r="H666" s="14"/>
      <c r="I666" s="20" t="s">
        <v>43</v>
      </c>
      <c r="J666" s="15" t="str" cm="1">
        <f t="array" ref="J666">IF(B666&lt;&gt;"",MATCH(TRUE, INDEX((B667:B$9601&lt;&gt;""), 0), 0) - 1,"")</f>
        <v/>
      </c>
      <c r="K666" s="19" t="b">
        <v>1</v>
      </c>
      <c r="L666" s="17"/>
      <c r="M666" s="23"/>
    </row>
    <row r="667" spans="2:13" s="10" customFormat="1" ht="25.2" customHeight="1" outlineLevel="1" x14ac:dyDescent="0.45">
      <c r="B667" s="63"/>
      <c r="C667" s="24"/>
      <c r="D667" s="22" t="s">
        <v>220</v>
      </c>
      <c r="E667" s="13" t="s">
        <v>623</v>
      </c>
      <c r="F667" s="13"/>
      <c r="G667" s="13"/>
      <c r="H667" s="14"/>
      <c r="I667" s="20" t="s">
        <v>43</v>
      </c>
      <c r="J667" s="15" t="str" cm="1">
        <f t="array" ref="J667">IF(B667&lt;&gt;"",MATCH(TRUE, INDEX((B668:B$9601&lt;&gt;""), 0), 0) - 1,"")</f>
        <v/>
      </c>
      <c r="K667" s="19" t="b">
        <v>1</v>
      </c>
      <c r="L667" s="17"/>
      <c r="M667" s="23"/>
    </row>
    <row r="668" spans="2:13" s="10" customFormat="1" ht="25.2" customHeight="1" outlineLevel="1" x14ac:dyDescent="0.45">
      <c r="B668" s="63"/>
      <c r="C668" s="24"/>
      <c r="D668" s="22" t="s">
        <v>221</v>
      </c>
      <c r="E668" s="13" t="s">
        <v>623</v>
      </c>
      <c r="F668" s="13"/>
      <c r="G668" s="13"/>
      <c r="H668" s="14"/>
      <c r="I668" s="20" t="s">
        <v>43</v>
      </c>
      <c r="J668" s="15" t="str" cm="1">
        <f t="array" ref="J668">IF(B668&lt;&gt;"",MATCH(TRUE, INDEX((B669:B$9601&lt;&gt;""), 0), 0) - 1,"")</f>
        <v/>
      </c>
      <c r="K668" s="19" t="b">
        <v>1</v>
      </c>
      <c r="L668" s="17"/>
      <c r="M668" s="23"/>
    </row>
    <row r="669" spans="2:13" s="10" customFormat="1" ht="25.2" customHeight="1" outlineLevel="1" x14ac:dyDescent="0.45">
      <c r="B669" s="63"/>
      <c r="C669" s="24"/>
      <c r="D669" s="22" t="s">
        <v>222</v>
      </c>
      <c r="E669" s="13" t="s">
        <v>623</v>
      </c>
      <c r="F669" s="13"/>
      <c r="G669" s="13"/>
      <c r="H669" s="14"/>
      <c r="I669" s="20" t="s">
        <v>43</v>
      </c>
      <c r="J669" s="15" t="str" cm="1">
        <f t="array" ref="J669">IF(B669&lt;&gt;"",MATCH(TRUE, INDEX((B670:B$9601&lt;&gt;""), 0), 0) - 1,"")</f>
        <v/>
      </c>
      <c r="K669" s="19" t="b">
        <v>1</v>
      </c>
      <c r="L669" s="17"/>
      <c r="M669" s="23"/>
    </row>
    <row r="670" spans="2:13" s="10" customFormat="1" ht="25.2" customHeight="1" outlineLevel="1" x14ac:dyDescent="0.45">
      <c r="B670" s="63"/>
      <c r="C670" s="24"/>
      <c r="D670" s="22" t="s">
        <v>223</v>
      </c>
      <c r="E670" s="13" t="s">
        <v>623</v>
      </c>
      <c r="F670" s="13"/>
      <c r="G670" s="13"/>
      <c r="H670" s="14"/>
      <c r="I670" s="20" t="s">
        <v>43</v>
      </c>
      <c r="J670" s="15" t="str" cm="1">
        <f t="array" ref="J670">IF(B670&lt;&gt;"",MATCH(TRUE, INDEX((B671:B$9601&lt;&gt;""), 0), 0) - 1,"")</f>
        <v/>
      </c>
      <c r="K670" s="19" t="b">
        <v>1</v>
      </c>
      <c r="L670" s="17"/>
      <c r="M670" s="23"/>
    </row>
    <row r="671" spans="2:13" s="10" customFormat="1" ht="25.2" customHeight="1" outlineLevel="1" x14ac:dyDescent="0.45">
      <c r="B671" s="63"/>
      <c r="C671" s="24"/>
      <c r="D671" s="22" t="s">
        <v>224</v>
      </c>
      <c r="E671" s="13" t="s">
        <v>623</v>
      </c>
      <c r="F671" s="13"/>
      <c r="G671" s="13"/>
      <c r="H671" s="14"/>
      <c r="I671" s="20" t="s">
        <v>43</v>
      </c>
      <c r="J671" s="15" t="str" cm="1">
        <f t="array" ref="J671">IF(B671&lt;&gt;"",MATCH(TRUE, INDEX((B672:B$9601&lt;&gt;""), 0), 0) - 1,"")</f>
        <v/>
      </c>
      <c r="K671" s="19" t="b">
        <v>1</v>
      </c>
      <c r="L671" s="17"/>
      <c r="M671" s="23"/>
    </row>
    <row r="672" spans="2:13" s="10" customFormat="1" ht="25.2" customHeight="1" outlineLevel="1" x14ac:dyDescent="0.45">
      <c r="B672" s="63"/>
      <c r="C672" s="24"/>
      <c r="D672" s="22" t="s">
        <v>225</v>
      </c>
      <c r="E672" s="13" t="s">
        <v>623</v>
      </c>
      <c r="F672" s="13"/>
      <c r="G672" s="13"/>
      <c r="H672" s="14"/>
      <c r="I672" s="20" t="s">
        <v>43</v>
      </c>
      <c r="J672" s="15" t="str" cm="1">
        <f t="array" ref="J672">IF(B672&lt;&gt;"",MATCH(TRUE, INDEX((B673:B$9601&lt;&gt;""), 0), 0) - 1,"")</f>
        <v/>
      </c>
      <c r="K672" s="19" t="b">
        <v>0</v>
      </c>
      <c r="L672" s="17"/>
      <c r="M672" s="23"/>
    </row>
    <row r="673" spans="2:13" s="10" customFormat="1" ht="25.2" customHeight="1" outlineLevel="1" x14ac:dyDescent="0.45">
      <c r="B673" s="63"/>
      <c r="C673" s="24"/>
      <c r="D673" s="22" t="s">
        <v>226</v>
      </c>
      <c r="E673" s="13" t="s">
        <v>623</v>
      </c>
      <c r="F673" s="13"/>
      <c r="G673" s="13"/>
      <c r="H673" s="14"/>
      <c r="I673" s="20" t="s">
        <v>43</v>
      </c>
      <c r="J673" s="15" t="str" cm="1">
        <f t="array" ref="J673">IF(B673&lt;&gt;"",MATCH(TRUE, INDEX((B674:B$9601&lt;&gt;""), 0), 0) - 1,"")</f>
        <v/>
      </c>
      <c r="K673" s="19" t="b">
        <v>0</v>
      </c>
      <c r="L673" s="17"/>
      <c r="M673" s="23"/>
    </row>
    <row r="674" spans="2:13" s="10" customFormat="1" ht="25.2" customHeight="1" outlineLevel="1" x14ac:dyDescent="0.45">
      <c r="B674" s="63"/>
      <c r="C674" s="24"/>
      <c r="D674" s="22" t="s">
        <v>227</v>
      </c>
      <c r="E674" s="13" t="s">
        <v>623</v>
      </c>
      <c r="F674" s="13"/>
      <c r="G674" s="13"/>
      <c r="H674" s="14"/>
      <c r="I674" s="20" t="s">
        <v>43</v>
      </c>
      <c r="J674" s="15" t="str" cm="1">
        <f t="array" ref="J674">IF(B674&lt;&gt;"",MATCH(TRUE, INDEX((B675:B$9601&lt;&gt;""), 0), 0) - 1,"")</f>
        <v/>
      </c>
      <c r="K674" s="19" t="b">
        <v>0</v>
      </c>
      <c r="L674" s="17"/>
      <c r="M674" s="23"/>
    </row>
    <row r="675" spans="2:13" s="10" customFormat="1" ht="25.2" customHeight="1" outlineLevel="1" x14ac:dyDescent="0.45">
      <c r="B675" s="63"/>
      <c r="C675" s="24"/>
      <c r="D675" s="22" t="s">
        <v>228</v>
      </c>
      <c r="E675" s="13" t="s">
        <v>623</v>
      </c>
      <c r="F675" s="13"/>
      <c r="G675" s="13"/>
      <c r="H675" s="14"/>
      <c r="I675" s="20" t="s">
        <v>43</v>
      </c>
      <c r="J675" s="15" t="str" cm="1">
        <f t="array" ref="J675">IF(B675&lt;&gt;"",MATCH(TRUE, INDEX((B676:B$9601&lt;&gt;""), 0), 0) - 1,"")</f>
        <v/>
      </c>
      <c r="K675" s="19" t="b">
        <v>0</v>
      </c>
      <c r="L675" s="17"/>
      <c r="M675" s="23"/>
    </row>
    <row r="676" spans="2:13" s="10" customFormat="1" ht="25.2" customHeight="1" outlineLevel="1" x14ac:dyDescent="0.45">
      <c r="B676" s="63"/>
      <c r="C676" s="24"/>
      <c r="D676" s="22" t="s">
        <v>229</v>
      </c>
      <c r="E676" s="13" t="s">
        <v>623</v>
      </c>
      <c r="F676" s="13"/>
      <c r="G676" s="13"/>
      <c r="H676" s="14"/>
      <c r="I676" s="20" t="s">
        <v>43</v>
      </c>
      <c r="J676" s="15" t="str" cm="1">
        <f t="array" ref="J676">IF(B676&lt;&gt;"",MATCH(TRUE, INDEX((B677:B$9601&lt;&gt;""), 0), 0) - 1,"")</f>
        <v/>
      </c>
      <c r="K676" s="19" t="b">
        <v>0</v>
      </c>
      <c r="L676" s="17"/>
      <c r="M676" s="23"/>
    </row>
    <row r="677" spans="2:13" s="10" customFormat="1" ht="25.2" customHeight="1" outlineLevel="1" x14ac:dyDescent="0.45">
      <c r="B677" s="63"/>
      <c r="C677" s="24"/>
      <c r="D677" s="22" t="s">
        <v>230</v>
      </c>
      <c r="E677" s="13" t="s">
        <v>623</v>
      </c>
      <c r="F677" s="13"/>
      <c r="G677" s="13"/>
      <c r="H677" s="14"/>
      <c r="I677" s="20" t="s">
        <v>43</v>
      </c>
      <c r="J677" s="15" t="str" cm="1">
        <f t="array" ref="J677">IF(B677&lt;&gt;"",MATCH(TRUE, INDEX((B678:B$9601&lt;&gt;""), 0), 0) - 1,"")</f>
        <v/>
      </c>
      <c r="K677" s="19" t="b">
        <v>0</v>
      </c>
      <c r="L677" s="17"/>
      <c r="M677" s="23"/>
    </row>
    <row r="678" spans="2:13" s="10" customFormat="1" ht="25.2" customHeight="1" x14ac:dyDescent="0.45">
      <c r="B678" s="63">
        <v>55</v>
      </c>
      <c r="C678" s="74" t="s">
        <v>467</v>
      </c>
      <c r="D678" s="22" t="s">
        <v>455</v>
      </c>
      <c r="E678" s="13" t="s">
        <v>623</v>
      </c>
      <c r="F678" s="13"/>
      <c r="G678" s="13"/>
      <c r="H678" s="14" t="str">
        <f>IF(K678=100, "FINISH", IF(K678&gt;0, "IN PROGRESS", IF(K678=0, "SCHED-OK", "")))</f>
        <v>FINISH</v>
      </c>
      <c r="I678" s="20" t="s">
        <v>40</v>
      </c>
      <c r="J678" s="15" cm="1">
        <f t="array" ref="J678">IF(B678&lt;&gt;"",MATCH(TRUE, INDEX((B679:B$9601&lt;&gt;""), 0), 0) - 1,"")</f>
        <v>5</v>
      </c>
      <c r="K678" s="16">
        <f>IF(J678&gt;0, COUNTIF(K679:INDEX(K679:K$9577, J678), TRUE)/J678*100, "")</f>
        <v>100</v>
      </c>
      <c r="L678" s="17" t="s">
        <v>20</v>
      </c>
      <c r="M678" s="18"/>
    </row>
    <row r="679" spans="2:13" s="10" customFormat="1" ht="25.2" customHeight="1" outlineLevel="1" x14ac:dyDescent="0.45">
      <c r="B679" s="63"/>
      <c r="C679" s="24"/>
      <c r="D679" s="22" t="s">
        <v>231</v>
      </c>
      <c r="E679" s="13" t="s">
        <v>623</v>
      </c>
      <c r="F679" s="13"/>
      <c r="G679" s="13"/>
      <c r="H679" s="14"/>
      <c r="I679" s="20" t="s">
        <v>43</v>
      </c>
      <c r="J679" s="15" t="str" cm="1">
        <f t="array" ref="J679">IF(B679&lt;&gt;"",MATCH(TRUE, INDEX((B680:B$9601&lt;&gt;""), 0), 0) - 1,"")</f>
        <v/>
      </c>
      <c r="K679" s="19" t="b">
        <v>1</v>
      </c>
      <c r="L679" s="17"/>
      <c r="M679" s="23"/>
    </row>
    <row r="680" spans="2:13" s="10" customFormat="1" ht="25.2" customHeight="1" outlineLevel="1" x14ac:dyDescent="0.45">
      <c r="B680" s="63"/>
      <c r="C680" s="24"/>
      <c r="D680" s="22" t="s">
        <v>232</v>
      </c>
      <c r="E680" s="13" t="s">
        <v>623</v>
      </c>
      <c r="F680" s="13"/>
      <c r="G680" s="13"/>
      <c r="H680" s="14"/>
      <c r="I680" s="20" t="s">
        <v>43</v>
      </c>
      <c r="J680" s="15" t="str" cm="1">
        <f t="array" ref="J680">IF(B680&lt;&gt;"",MATCH(TRUE, INDEX((B681:B$9601&lt;&gt;""), 0), 0) - 1,"")</f>
        <v/>
      </c>
      <c r="K680" s="19" t="b">
        <v>1</v>
      </c>
      <c r="L680" s="17"/>
      <c r="M680" s="23"/>
    </row>
    <row r="681" spans="2:13" s="10" customFormat="1" ht="25.2" customHeight="1" outlineLevel="1" x14ac:dyDescent="0.45">
      <c r="B681" s="63"/>
      <c r="C681" s="24"/>
      <c r="D681" s="22" t="s">
        <v>233</v>
      </c>
      <c r="E681" s="13" t="s">
        <v>623</v>
      </c>
      <c r="F681" s="13"/>
      <c r="G681" s="13"/>
      <c r="H681" s="14"/>
      <c r="I681" s="20" t="s">
        <v>43</v>
      </c>
      <c r="J681" s="15" t="str" cm="1">
        <f t="array" ref="J681">IF(B681&lt;&gt;"",MATCH(TRUE, INDEX((B682:B$9601&lt;&gt;""), 0), 0) - 1,"")</f>
        <v/>
      </c>
      <c r="K681" s="19" t="b">
        <v>1</v>
      </c>
      <c r="L681" s="17"/>
      <c r="M681" s="23"/>
    </row>
    <row r="682" spans="2:13" s="10" customFormat="1" ht="25.2" customHeight="1" outlineLevel="1" x14ac:dyDescent="0.45">
      <c r="B682" s="63"/>
      <c r="C682" s="24"/>
      <c r="D682" s="22" t="s">
        <v>234</v>
      </c>
      <c r="E682" s="13" t="s">
        <v>623</v>
      </c>
      <c r="F682" s="13"/>
      <c r="G682" s="13"/>
      <c r="H682" s="14"/>
      <c r="I682" s="20" t="s">
        <v>43</v>
      </c>
      <c r="J682" s="15" t="str" cm="1">
        <f t="array" ref="J682">IF(B682&lt;&gt;"",MATCH(TRUE, INDEX((B683:B$9601&lt;&gt;""), 0), 0) - 1,"")</f>
        <v/>
      </c>
      <c r="K682" s="19" t="b">
        <v>1</v>
      </c>
      <c r="L682" s="17"/>
      <c r="M682" s="23"/>
    </row>
    <row r="683" spans="2:13" s="10" customFormat="1" ht="25.2" customHeight="1" outlineLevel="1" x14ac:dyDescent="0.45">
      <c r="B683" s="64"/>
      <c r="C683" s="24"/>
      <c r="D683" s="22" t="s">
        <v>235</v>
      </c>
      <c r="E683" s="13" t="s">
        <v>623</v>
      </c>
      <c r="F683" s="13"/>
      <c r="G683" s="13"/>
      <c r="H683" s="14"/>
      <c r="I683" s="20" t="s">
        <v>43</v>
      </c>
      <c r="J683" s="15" t="str" cm="1">
        <f t="array" ref="J683">IF(B683&lt;&gt;"",MATCH(TRUE, INDEX((B684:B$9601&lt;&gt;""), 0), 0) - 1,"")</f>
        <v/>
      </c>
      <c r="K683" s="19" t="b">
        <v>1</v>
      </c>
      <c r="L683" s="17"/>
      <c r="M683" s="23"/>
    </row>
    <row r="684" spans="2:13" s="10" customFormat="1" ht="25.2" customHeight="1" x14ac:dyDescent="0.45">
      <c r="B684" s="63">
        <v>56</v>
      </c>
      <c r="C684" s="74" t="s">
        <v>467</v>
      </c>
      <c r="D684" s="22" t="s">
        <v>456</v>
      </c>
      <c r="E684" s="13" t="s">
        <v>623</v>
      </c>
      <c r="F684" s="13"/>
      <c r="G684" s="13"/>
      <c r="H684" s="14" t="str">
        <f>IF(K684=100, "FINISH", IF(K684&gt;0, "IN PROGRESS", IF(K684=0, "SCHED-OK", "")))</f>
        <v>IN PROGRESS</v>
      </c>
      <c r="I684" s="20" t="s">
        <v>80</v>
      </c>
      <c r="J684" s="15" cm="1">
        <f t="array" ref="J684">IF(B684&lt;&gt;"",MATCH(TRUE, INDEX((B685:B$9601&lt;&gt;""), 0), 0) - 1,"")</f>
        <v>16</v>
      </c>
      <c r="K684" s="16">
        <f>IF(J684&gt;0, COUNTIF(K685:INDEX(K685:K$9577, J684), TRUE)/J684*100, "")</f>
        <v>75</v>
      </c>
      <c r="L684" s="17" t="s">
        <v>20</v>
      </c>
      <c r="M684" s="18"/>
    </row>
    <row r="685" spans="2:13" s="10" customFormat="1" ht="25.2" customHeight="1" outlineLevel="1" x14ac:dyDescent="0.45">
      <c r="B685" s="63"/>
      <c r="C685" s="24"/>
      <c r="D685" s="22" t="s">
        <v>236</v>
      </c>
      <c r="E685" s="13" t="s">
        <v>623</v>
      </c>
      <c r="F685" s="13"/>
      <c r="G685" s="13"/>
      <c r="H685" s="14"/>
      <c r="I685" s="20" t="s">
        <v>33</v>
      </c>
      <c r="J685" s="15" t="str" cm="1">
        <f t="array" ref="J685">IF(B685&lt;&gt;"",MATCH(TRUE, INDEX((B686:B$9601&lt;&gt;""), 0), 0) - 1,"")</f>
        <v/>
      </c>
      <c r="K685" s="19" t="b">
        <v>1</v>
      </c>
      <c r="L685" s="17"/>
      <c r="M685" s="23"/>
    </row>
    <row r="686" spans="2:13" s="10" customFormat="1" ht="25.2" customHeight="1" outlineLevel="1" x14ac:dyDescent="0.45">
      <c r="B686" s="63"/>
      <c r="C686" s="24"/>
      <c r="D686" s="22" t="s">
        <v>237</v>
      </c>
      <c r="E686" s="13" t="s">
        <v>623</v>
      </c>
      <c r="F686" s="13"/>
      <c r="G686" s="13"/>
      <c r="H686" s="14"/>
      <c r="I686" s="20" t="s">
        <v>33</v>
      </c>
      <c r="J686" s="15" t="str" cm="1">
        <f t="array" ref="J686">IF(B686&lt;&gt;"",MATCH(TRUE, INDEX((B687:B$9601&lt;&gt;""), 0), 0) - 1,"")</f>
        <v/>
      </c>
      <c r="K686" s="19" t="b">
        <v>1</v>
      </c>
      <c r="L686" s="17"/>
      <c r="M686" s="23"/>
    </row>
    <row r="687" spans="2:13" s="10" customFormat="1" ht="25.2" customHeight="1" outlineLevel="1" x14ac:dyDescent="0.45">
      <c r="B687" s="63"/>
      <c r="C687" s="24"/>
      <c r="D687" s="22" t="s">
        <v>238</v>
      </c>
      <c r="E687" s="13" t="s">
        <v>623</v>
      </c>
      <c r="F687" s="13"/>
      <c r="G687" s="13"/>
      <c r="H687" s="14"/>
      <c r="I687" s="20" t="s">
        <v>33</v>
      </c>
      <c r="J687" s="15" t="str" cm="1">
        <f t="array" ref="J687">IF(B687&lt;&gt;"",MATCH(TRUE, INDEX((B688:B$9601&lt;&gt;""), 0), 0) - 1,"")</f>
        <v/>
      </c>
      <c r="K687" s="19" t="b">
        <v>1</v>
      </c>
      <c r="L687" s="17"/>
      <c r="M687" s="23"/>
    </row>
    <row r="688" spans="2:13" s="10" customFormat="1" ht="25.2" customHeight="1" outlineLevel="1" x14ac:dyDescent="0.45">
      <c r="B688" s="63"/>
      <c r="C688" s="24"/>
      <c r="D688" s="22" t="s">
        <v>239</v>
      </c>
      <c r="E688" s="13" t="s">
        <v>623</v>
      </c>
      <c r="F688" s="13"/>
      <c r="G688" s="13"/>
      <c r="H688" s="14"/>
      <c r="I688" s="20" t="s">
        <v>33</v>
      </c>
      <c r="J688" s="15" t="str" cm="1">
        <f t="array" ref="J688">IF(B688&lt;&gt;"",MATCH(TRUE, INDEX((B689:B$9601&lt;&gt;""), 0), 0) - 1,"")</f>
        <v/>
      </c>
      <c r="K688" s="19" t="b">
        <v>1</v>
      </c>
      <c r="L688" s="17"/>
      <c r="M688" s="23"/>
    </row>
    <row r="689" spans="2:13" s="10" customFormat="1" ht="25.2" customHeight="1" outlineLevel="1" x14ac:dyDescent="0.45">
      <c r="B689" s="63"/>
      <c r="C689" s="24"/>
      <c r="D689" s="22" t="s">
        <v>240</v>
      </c>
      <c r="E689" s="13" t="s">
        <v>623</v>
      </c>
      <c r="F689" s="13"/>
      <c r="G689" s="13"/>
      <c r="H689" s="14"/>
      <c r="I689" s="20" t="s">
        <v>33</v>
      </c>
      <c r="J689" s="15" t="str" cm="1">
        <f t="array" ref="J689">IF(B689&lt;&gt;"",MATCH(TRUE, INDEX((B690:B$9601&lt;&gt;""), 0), 0) - 1,"")</f>
        <v/>
      </c>
      <c r="K689" s="19" t="b">
        <v>1</v>
      </c>
      <c r="L689" s="17"/>
      <c r="M689" s="23"/>
    </row>
    <row r="690" spans="2:13" s="10" customFormat="1" ht="25.2" customHeight="1" outlineLevel="1" x14ac:dyDescent="0.45">
      <c r="B690" s="63"/>
      <c r="C690" s="24"/>
      <c r="D690" s="22" t="s">
        <v>241</v>
      </c>
      <c r="E690" s="13" t="s">
        <v>623</v>
      </c>
      <c r="F690" s="13"/>
      <c r="G690" s="13"/>
      <c r="H690" s="14"/>
      <c r="I690" s="20" t="s">
        <v>33</v>
      </c>
      <c r="J690" s="15" t="str" cm="1">
        <f t="array" ref="J690">IF(B690&lt;&gt;"",MATCH(TRUE, INDEX((B691:B$9601&lt;&gt;""), 0), 0) - 1,"")</f>
        <v/>
      </c>
      <c r="K690" s="19" t="b">
        <v>1</v>
      </c>
      <c r="L690" s="17"/>
      <c r="M690" s="23"/>
    </row>
    <row r="691" spans="2:13" s="10" customFormat="1" ht="25.2" customHeight="1" outlineLevel="1" x14ac:dyDescent="0.45">
      <c r="B691" s="63"/>
      <c r="C691" s="24"/>
      <c r="D691" s="22" t="s">
        <v>242</v>
      </c>
      <c r="E691" s="13" t="s">
        <v>623</v>
      </c>
      <c r="F691" s="13"/>
      <c r="G691" s="13"/>
      <c r="H691" s="14"/>
      <c r="I691" s="20" t="s">
        <v>33</v>
      </c>
      <c r="J691" s="15" t="str" cm="1">
        <f t="array" ref="J691">IF(B691&lt;&gt;"",MATCH(TRUE, INDEX((B692:B$9601&lt;&gt;""), 0), 0) - 1,"")</f>
        <v/>
      </c>
      <c r="K691" s="19" t="b">
        <v>1</v>
      </c>
      <c r="L691" s="17"/>
      <c r="M691" s="23"/>
    </row>
    <row r="692" spans="2:13" s="10" customFormat="1" ht="25.2" customHeight="1" outlineLevel="1" x14ac:dyDescent="0.45">
      <c r="B692" s="63"/>
      <c r="C692" s="24"/>
      <c r="D692" s="22" t="s">
        <v>243</v>
      </c>
      <c r="E692" s="13" t="s">
        <v>623</v>
      </c>
      <c r="F692" s="13"/>
      <c r="G692" s="13"/>
      <c r="H692" s="14"/>
      <c r="I692" s="20" t="s">
        <v>33</v>
      </c>
      <c r="J692" s="15" t="str" cm="1">
        <f t="array" ref="J692">IF(B692&lt;&gt;"",MATCH(TRUE, INDEX((B693:B$9601&lt;&gt;""), 0), 0) - 1,"")</f>
        <v/>
      </c>
      <c r="K692" s="19" t="b">
        <v>1</v>
      </c>
      <c r="L692" s="17"/>
      <c r="M692" s="23"/>
    </row>
    <row r="693" spans="2:13" s="10" customFormat="1" ht="25.2" customHeight="1" outlineLevel="1" x14ac:dyDescent="0.45">
      <c r="B693" s="63"/>
      <c r="C693" s="24"/>
      <c r="D693" s="22" t="s">
        <v>244</v>
      </c>
      <c r="E693" s="13" t="s">
        <v>623</v>
      </c>
      <c r="F693" s="13"/>
      <c r="G693" s="13"/>
      <c r="H693" s="14"/>
      <c r="I693" s="20" t="s">
        <v>33</v>
      </c>
      <c r="J693" s="15" t="str" cm="1">
        <f t="array" ref="J693">IF(B693&lt;&gt;"",MATCH(TRUE, INDEX((B694:B$9601&lt;&gt;""), 0), 0) - 1,"")</f>
        <v/>
      </c>
      <c r="K693" s="19" t="b">
        <v>1</v>
      </c>
      <c r="L693" s="17"/>
      <c r="M693" s="23"/>
    </row>
    <row r="694" spans="2:13" s="10" customFormat="1" ht="25.2" customHeight="1" outlineLevel="1" x14ac:dyDescent="0.45">
      <c r="B694" s="63"/>
      <c r="C694" s="24"/>
      <c r="D694" s="22" t="s">
        <v>245</v>
      </c>
      <c r="E694" s="13" t="s">
        <v>623</v>
      </c>
      <c r="F694" s="13"/>
      <c r="G694" s="13"/>
      <c r="H694" s="14"/>
      <c r="I694" s="20" t="s">
        <v>33</v>
      </c>
      <c r="J694" s="15" t="str" cm="1">
        <f t="array" ref="J694">IF(B694&lt;&gt;"",MATCH(TRUE, INDEX((B695:B$9601&lt;&gt;""), 0), 0) - 1,"")</f>
        <v/>
      </c>
      <c r="K694" s="19" t="b">
        <v>1</v>
      </c>
      <c r="L694" s="17"/>
      <c r="M694" s="23"/>
    </row>
    <row r="695" spans="2:13" s="10" customFormat="1" ht="25.2" customHeight="1" outlineLevel="1" x14ac:dyDescent="0.45">
      <c r="B695" s="63"/>
      <c r="C695" s="24"/>
      <c r="D695" s="22" t="s">
        <v>246</v>
      </c>
      <c r="E695" s="13" t="s">
        <v>623</v>
      </c>
      <c r="F695" s="13"/>
      <c r="G695" s="13"/>
      <c r="H695" s="14"/>
      <c r="I695" s="20" t="s">
        <v>33</v>
      </c>
      <c r="J695" s="15" t="str" cm="1">
        <f t="array" ref="J695">IF(B695&lt;&gt;"",MATCH(TRUE, INDEX((B696:B$9601&lt;&gt;""), 0), 0) - 1,"")</f>
        <v/>
      </c>
      <c r="K695" s="19" t="b">
        <v>1</v>
      </c>
      <c r="L695" s="17"/>
      <c r="M695" s="23"/>
    </row>
    <row r="696" spans="2:13" s="10" customFormat="1" ht="25.2" customHeight="1" outlineLevel="1" x14ac:dyDescent="0.45">
      <c r="B696" s="63"/>
      <c r="C696" s="24"/>
      <c r="D696" s="22" t="s">
        <v>615</v>
      </c>
      <c r="E696" s="13" t="s">
        <v>623</v>
      </c>
      <c r="F696" s="13"/>
      <c r="G696" s="13"/>
      <c r="H696" s="14"/>
      <c r="I696" s="20" t="s">
        <v>33</v>
      </c>
      <c r="J696" s="15" t="str" cm="1">
        <f t="array" ref="J696">IF(B696&lt;&gt;"",MATCH(TRUE, INDEX((B697:B$9601&lt;&gt;""), 0), 0) - 1,"")</f>
        <v/>
      </c>
      <c r="K696" s="19" t="b">
        <v>1</v>
      </c>
      <c r="L696" s="17"/>
      <c r="M696" s="23"/>
    </row>
    <row r="697" spans="2:13" s="10" customFormat="1" ht="25.2" customHeight="1" outlineLevel="1" x14ac:dyDescent="0.45">
      <c r="B697" s="63"/>
      <c r="C697" s="24"/>
      <c r="D697" s="22" t="s">
        <v>616</v>
      </c>
      <c r="E697" s="13" t="s">
        <v>623</v>
      </c>
      <c r="F697" s="13"/>
      <c r="G697" s="13"/>
      <c r="H697" s="14"/>
      <c r="I697" s="20" t="s">
        <v>33</v>
      </c>
      <c r="J697" s="15" t="str" cm="1">
        <f t="array" ref="J697">IF(B697&lt;&gt;"",MATCH(TRUE, INDEX((B698:B$9601&lt;&gt;""), 0), 0) - 1,"")</f>
        <v/>
      </c>
      <c r="K697" s="19" t="b">
        <v>0</v>
      </c>
      <c r="L697" s="17"/>
      <c r="M697" s="23"/>
    </row>
    <row r="698" spans="2:13" s="10" customFormat="1" ht="25.2" customHeight="1" outlineLevel="1" x14ac:dyDescent="0.45">
      <c r="B698" s="63"/>
      <c r="C698" s="24"/>
      <c r="D698" s="22" t="s">
        <v>617</v>
      </c>
      <c r="E698" s="13" t="s">
        <v>623</v>
      </c>
      <c r="F698" s="13"/>
      <c r="G698" s="13"/>
      <c r="H698" s="14"/>
      <c r="I698" s="20" t="s">
        <v>32</v>
      </c>
      <c r="J698" s="15" t="str" cm="1">
        <f t="array" ref="J698">IF(B698&lt;&gt;"",MATCH(TRUE, INDEX((B699:B$9601&lt;&gt;""), 0), 0) - 1,"")</f>
        <v/>
      </c>
      <c r="K698" s="19" t="b">
        <v>0</v>
      </c>
      <c r="L698" s="17"/>
      <c r="M698" s="23"/>
    </row>
    <row r="699" spans="2:13" s="10" customFormat="1" ht="25.2" customHeight="1" outlineLevel="1" x14ac:dyDescent="0.45">
      <c r="B699" s="63"/>
      <c r="C699" s="24"/>
      <c r="D699" s="22" t="s">
        <v>618</v>
      </c>
      <c r="E699" s="13" t="s">
        <v>623</v>
      </c>
      <c r="F699" s="13"/>
      <c r="G699" s="13"/>
      <c r="H699" s="14"/>
      <c r="I699" s="20" t="s">
        <v>32</v>
      </c>
      <c r="J699" s="15" t="str" cm="1">
        <f t="array" ref="J699">IF(B699&lt;&gt;"",MATCH(TRUE, INDEX((B700:B$9601&lt;&gt;""), 0), 0) - 1,"")</f>
        <v/>
      </c>
      <c r="K699" s="19" t="b">
        <v>0</v>
      </c>
      <c r="L699" s="17"/>
      <c r="M699" s="23"/>
    </row>
    <row r="700" spans="2:13" s="10" customFormat="1" ht="25.2" customHeight="1" outlineLevel="1" x14ac:dyDescent="0.45">
      <c r="B700" s="63"/>
      <c r="C700" s="24"/>
      <c r="D700" s="22" t="s">
        <v>619</v>
      </c>
      <c r="E700" s="13" t="s">
        <v>623</v>
      </c>
      <c r="F700" s="13"/>
      <c r="G700" s="13"/>
      <c r="H700" s="14"/>
      <c r="I700" s="20" t="s">
        <v>43</v>
      </c>
      <c r="J700" s="15" t="str" cm="1">
        <f t="array" ref="J700">IF(B700&lt;&gt;"",MATCH(TRUE, INDEX((B701:B$9601&lt;&gt;""), 0), 0) - 1,"")</f>
        <v/>
      </c>
      <c r="K700" s="19" t="b">
        <v>0</v>
      </c>
      <c r="L700" s="17"/>
      <c r="M700" s="23"/>
    </row>
    <row r="701" spans="2:13" s="10" customFormat="1" ht="25.2" customHeight="1" x14ac:dyDescent="0.45">
      <c r="B701" s="63">
        <v>57</v>
      </c>
      <c r="C701" s="74" t="s">
        <v>467</v>
      </c>
      <c r="D701" s="22" t="s">
        <v>457</v>
      </c>
      <c r="E701" s="13" t="s">
        <v>623</v>
      </c>
      <c r="F701" s="13"/>
      <c r="G701" s="13"/>
      <c r="H701" s="14" t="str">
        <f>IF(K701=100, "FINISH", IF(K701&gt;0, "IN PROGRESS", IF(K701=0, "SCHED-OK", "")))</f>
        <v>SCHED-OK</v>
      </c>
      <c r="I701" s="20" t="s">
        <v>56</v>
      </c>
      <c r="J701" s="15" cm="1">
        <f t="array" ref="J701">IF(B701&lt;&gt;"",MATCH(TRUE, INDEX((B702:B$9601&lt;&gt;""), 0), 0) - 1,"")</f>
        <v>3</v>
      </c>
      <c r="K701" s="16">
        <f>IF(J701&gt;0, COUNTIF(K702:INDEX(K702:K$9577, J701), TRUE)/J701*100, "")</f>
        <v>0</v>
      </c>
      <c r="L701" s="17" t="s">
        <v>20</v>
      </c>
      <c r="M701" s="18"/>
    </row>
    <row r="702" spans="2:13" s="10" customFormat="1" ht="25.2" customHeight="1" outlineLevel="1" x14ac:dyDescent="0.45">
      <c r="B702" s="63"/>
      <c r="C702" s="24"/>
      <c r="D702" s="22" t="s">
        <v>192</v>
      </c>
      <c r="E702" s="13" t="s">
        <v>623</v>
      </c>
      <c r="F702" s="13"/>
      <c r="G702" s="13"/>
      <c r="H702" s="14"/>
      <c r="I702" s="20"/>
      <c r="J702" s="15" t="str" cm="1">
        <f t="array" ref="J702">IF(B702&lt;&gt;"",MATCH(TRUE, INDEX((B703:B$9601&lt;&gt;""), 0), 0) - 1,"")</f>
        <v/>
      </c>
      <c r="K702" s="19" t="b">
        <v>0</v>
      </c>
      <c r="L702" s="17"/>
      <c r="M702" s="23"/>
    </row>
    <row r="703" spans="2:13" s="10" customFormat="1" ht="25.2" customHeight="1" outlineLevel="1" x14ac:dyDescent="0.45">
      <c r="B703" s="63"/>
      <c r="C703" s="24"/>
      <c r="D703" s="22" t="s">
        <v>193</v>
      </c>
      <c r="E703" s="13" t="s">
        <v>623</v>
      </c>
      <c r="F703" s="13"/>
      <c r="G703" s="13"/>
      <c r="H703" s="14"/>
      <c r="I703" s="20"/>
      <c r="J703" s="15" t="str" cm="1">
        <f t="array" ref="J703">IF(B703&lt;&gt;"",MATCH(TRUE, INDEX((B704:B$9601&lt;&gt;""), 0), 0) - 1,"")</f>
        <v/>
      </c>
      <c r="K703" s="19" t="b">
        <v>0</v>
      </c>
      <c r="L703" s="17"/>
      <c r="M703" s="23"/>
    </row>
    <row r="704" spans="2:13" s="10" customFormat="1" ht="25.2" customHeight="1" outlineLevel="1" x14ac:dyDescent="0.45">
      <c r="B704" s="64"/>
      <c r="C704" s="24"/>
      <c r="D704" s="22" t="s">
        <v>194</v>
      </c>
      <c r="E704" s="13" t="s">
        <v>623</v>
      </c>
      <c r="F704" s="13"/>
      <c r="G704" s="13"/>
      <c r="H704" s="14"/>
      <c r="I704" s="20"/>
      <c r="J704" s="15" t="str" cm="1">
        <f t="array" ref="J704">IF(B704&lt;&gt;"",MATCH(TRUE, INDEX((B705:B$9601&lt;&gt;""), 0), 0) - 1,"")</f>
        <v/>
      </c>
      <c r="K704" s="19" t="b">
        <v>0</v>
      </c>
      <c r="L704" s="17"/>
      <c r="M704" s="23"/>
    </row>
    <row r="705" spans="2:13" s="10" customFormat="1" ht="25.2" customHeight="1" x14ac:dyDescent="0.45">
      <c r="B705" s="63">
        <v>58</v>
      </c>
      <c r="C705" s="74" t="s">
        <v>467</v>
      </c>
      <c r="D705" s="22" t="s">
        <v>458</v>
      </c>
      <c r="E705" s="13" t="s">
        <v>623</v>
      </c>
      <c r="F705" s="13"/>
      <c r="G705" s="13"/>
      <c r="H705" s="14" t="str">
        <f>IF(K705=100, "FINISH", IF(K705&gt;0, "IN PROGRESS", IF(K705=0, "SCHED-OK", "")))</f>
        <v>SCHED-OK</v>
      </c>
      <c r="I705" s="20" t="s">
        <v>215</v>
      </c>
      <c r="J705" s="15" cm="1">
        <f t="array" ref="J705">IF(B705&lt;&gt;"",MATCH(TRUE, INDEX((B706:B$9601&lt;&gt;""), 0), 0) - 1,"")</f>
        <v>36</v>
      </c>
      <c r="K705" s="16">
        <f>IF(J705&gt;0, COUNTIF(K706:INDEX(K706:K$9577, J705), TRUE)/J705*100, "")</f>
        <v>0</v>
      </c>
      <c r="L705" s="17" t="s">
        <v>20</v>
      </c>
      <c r="M705" s="18"/>
    </row>
    <row r="706" spans="2:13" s="10" customFormat="1" ht="25.2" customHeight="1" outlineLevel="1" x14ac:dyDescent="0.45">
      <c r="B706" s="63"/>
      <c r="C706" s="24"/>
      <c r="D706" s="22" t="s">
        <v>247</v>
      </c>
      <c r="E706" s="13" t="s">
        <v>623</v>
      </c>
      <c r="F706" s="13"/>
      <c r="G706" s="13"/>
      <c r="H706" s="14"/>
      <c r="I706" s="20" t="s">
        <v>33</v>
      </c>
      <c r="J706" s="15" t="str" cm="1">
        <f t="array" ref="J706">IF(B706&lt;&gt;"",MATCH(TRUE, INDEX((B707:B$9601&lt;&gt;""), 0), 0) - 1,"")</f>
        <v/>
      </c>
      <c r="K706" s="19" t="b">
        <v>0</v>
      </c>
      <c r="L706" s="17"/>
      <c r="M706" s="23"/>
    </row>
    <row r="707" spans="2:13" s="10" customFormat="1" ht="25.2" customHeight="1" outlineLevel="1" x14ac:dyDescent="0.45">
      <c r="B707" s="63"/>
      <c r="C707" s="24"/>
      <c r="D707" s="22" t="s">
        <v>248</v>
      </c>
      <c r="E707" s="13" t="s">
        <v>623</v>
      </c>
      <c r="F707" s="13"/>
      <c r="G707" s="13"/>
      <c r="H707" s="14"/>
      <c r="I707" s="20" t="s">
        <v>33</v>
      </c>
      <c r="J707" s="15" t="str" cm="1">
        <f t="array" ref="J707">IF(B707&lt;&gt;"",MATCH(TRUE, INDEX((B708:B$9601&lt;&gt;""), 0), 0) - 1,"")</f>
        <v/>
      </c>
      <c r="K707" s="19" t="b">
        <v>0</v>
      </c>
      <c r="L707" s="17"/>
      <c r="M707" s="23"/>
    </row>
    <row r="708" spans="2:13" s="10" customFormat="1" ht="25.2" customHeight="1" outlineLevel="1" x14ac:dyDescent="0.45">
      <c r="B708" s="63"/>
      <c r="C708" s="24"/>
      <c r="D708" s="22" t="s">
        <v>249</v>
      </c>
      <c r="E708" s="13" t="s">
        <v>623</v>
      </c>
      <c r="F708" s="13"/>
      <c r="G708" s="13"/>
      <c r="H708" s="14"/>
      <c r="I708" s="20" t="s">
        <v>33</v>
      </c>
      <c r="J708" s="15" t="str" cm="1">
        <f t="array" ref="J708">IF(B708&lt;&gt;"",MATCH(TRUE, INDEX((B709:B$9601&lt;&gt;""), 0), 0) - 1,"")</f>
        <v/>
      </c>
      <c r="K708" s="19" t="b">
        <v>0</v>
      </c>
      <c r="L708" s="17"/>
      <c r="M708" s="23"/>
    </row>
    <row r="709" spans="2:13" s="10" customFormat="1" ht="25.2" customHeight="1" outlineLevel="1" x14ac:dyDescent="0.45">
      <c r="B709" s="63"/>
      <c r="C709" s="24"/>
      <c r="D709" s="22" t="s">
        <v>250</v>
      </c>
      <c r="E709" s="13" t="s">
        <v>623</v>
      </c>
      <c r="F709" s="13"/>
      <c r="G709" s="13"/>
      <c r="H709" s="14"/>
      <c r="I709" s="20" t="s">
        <v>33</v>
      </c>
      <c r="J709" s="15" t="str" cm="1">
        <f t="array" ref="J709">IF(B709&lt;&gt;"",MATCH(TRUE, INDEX((B710:B$9601&lt;&gt;""), 0), 0) - 1,"")</f>
        <v/>
      </c>
      <c r="K709" s="19" t="b">
        <v>0</v>
      </c>
      <c r="L709" s="17"/>
      <c r="M709" s="23"/>
    </row>
    <row r="710" spans="2:13" s="10" customFormat="1" ht="25.2" customHeight="1" outlineLevel="1" x14ac:dyDescent="0.45">
      <c r="B710" s="63"/>
      <c r="C710" s="24"/>
      <c r="D710" s="22" t="s">
        <v>251</v>
      </c>
      <c r="E710" s="13" t="s">
        <v>623</v>
      </c>
      <c r="F710" s="13"/>
      <c r="G710" s="13"/>
      <c r="H710" s="14"/>
      <c r="I710" s="20" t="s">
        <v>33</v>
      </c>
      <c r="J710" s="15" t="str" cm="1">
        <f t="array" ref="J710">IF(B710&lt;&gt;"",MATCH(TRUE, INDEX((B711:B$9601&lt;&gt;""), 0), 0) - 1,"")</f>
        <v/>
      </c>
      <c r="K710" s="19" t="b">
        <v>0</v>
      </c>
      <c r="L710" s="17"/>
      <c r="M710" s="23"/>
    </row>
    <row r="711" spans="2:13" s="10" customFormat="1" ht="25.2" customHeight="1" outlineLevel="1" x14ac:dyDescent="0.45">
      <c r="B711" s="63"/>
      <c r="C711" s="24"/>
      <c r="D711" s="22" t="s">
        <v>252</v>
      </c>
      <c r="E711" s="13" t="s">
        <v>623</v>
      </c>
      <c r="F711" s="13"/>
      <c r="G711" s="13"/>
      <c r="H711" s="14"/>
      <c r="I711" s="20" t="s">
        <v>33</v>
      </c>
      <c r="J711" s="15" t="str" cm="1">
        <f t="array" ref="J711">IF(B711&lt;&gt;"",MATCH(TRUE, INDEX((B712:B$9601&lt;&gt;""), 0), 0) - 1,"")</f>
        <v/>
      </c>
      <c r="K711" s="19" t="b">
        <v>0</v>
      </c>
      <c r="L711" s="17"/>
      <c r="M711" s="23"/>
    </row>
    <row r="712" spans="2:13" s="10" customFormat="1" ht="25.2" customHeight="1" outlineLevel="1" x14ac:dyDescent="0.45">
      <c r="B712" s="63"/>
      <c r="C712" s="24"/>
      <c r="D712" s="22" t="s">
        <v>253</v>
      </c>
      <c r="E712" s="13" t="s">
        <v>623</v>
      </c>
      <c r="F712" s="13"/>
      <c r="G712" s="13"/>
      <c r="H712" s="14"/>
      <c r="I712" s="20" t="s">
        <v>33</v>
      </c>
      <c r="J712" s="15" t="str" cm="1">
        <f t="array" ref="J712">IF(B712&lt;&gt;"",MATCH(TRUE, INDEX((B713:B$9601&lt;&gt;""), 0), 0) - 1,"")</f>
        <v/>
      </c>
      <c r="K712" s="19" t="b">
        <v>0</v>
      </c>
      <c r="L712" s="17"/>
      <c r="M712" s="23"/>
    </row>
    <row r="713" spans="2:13" s="10" customFormat="1" ht="25.2" customHeight="1" outlineLevel="1" x14ac:dyDescent="0.45">
      <c r="B713" s="63"/>
      <c r="C713" s="24"/>
      <c r="D713" s="22" t="s">
        <v>254</v>
      </c>
      <c r="E713" s="13" t="s">
        <v>623</v>
      </c>
      <c r="F713" s="13"/>
      <c r="G713" s="13"/>
      <c r="H713" s="14"/>
      <c r="I713" s="20" t="s">
        <v>33</v>
      </c>
      <c r="J713" s="15" t="str" cm="1">
        <f t="array" ref="J713">IF(B713&lt;&gt;"",MATCH(TRUE, INDEX((B714:B$9601&lt;&gt;""), 0), 0) - 1,"")</f>
        <v/>
      </c>
      <c r="K713" s="19" t="b">
        <v>0</v>
      </c>
      <c r="L713" s="17"/>
      <c r="M713" s="23"/>
    </row>
    <row r="714" spans="2:13" s="10" customFormat="1" ht="25.2" customHeight="1" outlineLevel="1" x14ac:dyDescent="0.45">
      <c r="B714" s="63"/>
      <c r="C714" s="24"/>
      <c r="D714" s="22" t="s">
        <v>255</v>
      </c>
      <c r="E714" s="13" t="s">
        <v>623</v>
      </c>
      <c r="F714" s="13"/>
      <c r="G714" s="13"/>
      <c r="H714" s="14"/>
      <c r="I714" s="20" t="s">
        <v>33</v>
      </c>
      <c r="J714" s="15" t="str" cm="1">
        <f t="array" ref="J714">IF(B714&lt;&gt;"",MATCH(TRUE, INDEX((B715:B$9601&lt;&gt;""), 0), 0) - 1,"")</f>
        <v/>
      </c>
      <c r="K714" s="19" t="b">
        <v>0</v>
      </c>
      <c r="L714" s="17"/>
      <c r="M714" s="23"/>
    </row>
    <row r="715" spans="2:13" s="10" customFormat="1" ht="25.2" customHeight="1" outlineLevel="1" x14ac:dyDescent="0.45">
      <c r="B715" s="63"/>
      <c r="C715" s="24"/>
      <c r="D715" s="22" t="s">
        <v>256</v>
      </c>
      <c r="E715" s="13" t="s">
        <v>623</v>
      </c>
      <c r="F715" s="13"/>
      <c r="G715" s="13"/>
      <c r="H715" s="14"/>
      <c r="I715" s="20" t="s">
        <v>33</v>
      </c>
      <c r="J715" s="15" t="str" cm="1">
        <f t="array" ref="J715">IF(B715&lt;&gt;"",MATCH(TRUE, INDEX((B716:B$9601&lt;&gt;""), 0), 0) - 1,"")</f>
        <v/>
      </c>
      <c r="K715" s="19" t="b">
        <v>0</v>
      </c>
      <c r="L715" s="17"/>
      <c r="M715" s="23"/>
    </row>
    <row r="716" spans="2:13" s="10" customFormat="1" ht="25.2" customHeight="1" outlineLevel="1" x14ac:dyDescent="0.45">
      <c r="B716" s="63"/>
      <c r="C716" s="24"/>
      <c r="D716" s="22" t="s">
        <v>257</v>
      </c>
      <c r="E716" s="13" t="s">
        <v>623</v>
      </c>
      <c r="F716" s="13"/>
      <c r="G716" s="13"/>
      <c r="H716" s="14"/>
      <c r="I716" s="20" t="s">
        <v>33</v>
      </c>
      <c r="J716" s="15" t="str" cm="1">
        <f t="array" ref="J716">IF(B716&lt;&gt;"",MATCH(TRUE, INDEX((B717:B$9601&lt;&gt;""), 0), 0) - 1,"")</f>
        <v/>
      </c>
      <c r="K716" s="19" t="b">
        <v>0</v>
      </c>
      <c r="L716" s="17"/>
      <c r="M716" s="23"/>
    </row>
    <row r="717" spans="2:13" s="10" customFormat="1" ht="25.2" customHeight="1" outlineLevel="1" x14ac:dyDescent="0.45">
      <c r="B717" s="63"/>
      <c r="C717" s="24"/>
      <c r="D717" s="22" t="s">
        <v>258</v>
      </c>
      <c r="E717" s="13" t="s">
        <v>623</v>
      </c>
      <c r="F717" s="13"/>
      <c r="G717" s="13"/>
      <c r="H717" s="14"/>
      <c r="I717" s="20" t="s">
        <v>33</v>
      </c>
      <c r="J717" s="15" t="str" cm="1">
        <f t="array" ref="J717">IF(B717&lt;&gt;"",MATCH(TRUE, INDEX((B718:B$9601&lt;&gt;""), 0), 0) - 1,"")</f>
        <v/>
      </c>
      <c r="K717" s="19" t="b">
        <v>0</v>
      </c>
      <c r="L717" s="17"/>
      <c r="M717" s="23"/>
    </row>
    <row r="718" spans="2:13" s="10" customFormat="1" ht="25.2" customHeight="1" outlineLevel="1" x14ac:dyDescent="0.45">
      <c r="B718" s="63"/>
      <c r="C718" s="24"/>
      <c r="D718" s="22" t="s">
        <v>259</v>
      </c>
      <c r="E718" s="13" t="s">
        <v>623</v>
      </c>
      <c r="F718" s="13"/>
      <c r="G718" s="13"/>
      <c r="H718" s="14"/>
      <c r="I718" s="20" t="s">
        <v>33</v>
      </c>
      <c r="J718" s="15" t="str" cm="1">
        <f t="array" ref="J718">IF(B718&lt;&gt;"",MATCH(TRUE, INDEX((B719:B$9601&lt;&gt;""), 0), 0) - 1,"")</f>
        <v/>
      </c>
      <c r="K718" s="19" t="b">
        <v>0</v>
      </c>
      <c r="L718" s="17"/>
      <c r="M718" s="23"/>
    </row>
    <row r="719" spans="2:13" s="10" customFormat="1" ht="25.2" customHeight="1" outlineLevel="1" x14ac:dyDescent="0.45">
      <c r="B719" s="63"/>
      <c r="C719" s="24"/>
      <c r="D719" s="22" t="s">
        <v>260</v>
      </c>
      <c r="E719" s="13" t="s">
        <v>623</v>
      </c>
      <c r="F719" s="13"/>
      <c r="G719" s="13"/>
      <c r="H719" s="14"/>
      <c r="I719" s="20" t="s">
        <v>33</v>
      </c>
      <c r="J719" s="15" t="str" cm="1">
        <f t="array" ref="J719">IF(B719&lt;&gt;"",MATCH(TRUE, INDEX((B720:B$9601&lt;&gt;""), 0), 0) - 1,"")</f>
        <v/>
      </c>
      <c r="K719" s="19" t="b">
        <v>0</v>
      </c>
      <c r="L719" s="17"/>
      <c r="M719" s="23"/>
    </row>
    <row r="720" spans="2:13" s="10" customFormat="1" ht="25.2" customHeight="1" outlineLevel="1" x14ac:dyDescent="0.45">
      <c r="B720" s="63"/>
      <c r="C720" s="24"/>
      <c r="D720" s="22" t="s">
        <v>261</v>
      </c>
      <c r="E720" s="13" t="s">
        <v>623</v>
      </c>
      <c r="F720" s="13"/>
      <c r="G720" s="13"/>
      <c r="H720" s="14"/>
      <c r="I720" s="20" t="s">
        <v>33</v>
      </c>
      <c r="J720" s="15" t="str" cm="1">
        <f t="array" ref="J720">IF(B720&lt;&gt;"",MATCH(TRUE, INDEX((B721:B$9601&lt;&gt;""), 0), 0) - 1,"")</f>
        <v/>
      </c>
      <c r="K720" s="19" t="b">
        <v>0</v>
      </c>
      <c r="L720" s="17"/>
      <c r="M720" s="23"/>
    </row>
    <row r="721" spans="2:13" s="10" customFormat="1" ht="25.2" customHeight="1" outlineLevel="1" x14ac:dyDescent="0.45">
      <c r="B721" s="63"/>
      <c r="C721" s="24"/>
      <c r="D721" s="22" t="s">
        <v>262</v>
      </c>
      <c r="E721" s="13" t="s">
        <v>623</v>
      </c>
      <c r="F721" s="13"/>
      <c r="G721" s="13"/>
      <c r="H721" s="14"/>
      <c r="I721" s="20" t="s">
        <v>33</v>
      </c>
      <c r="J721" s="15" t="str" cm="1">
        <f t="array" ref="J721">IF(B721&lt;&gt;"",MATCH(TRUE, INDEX((B722:B$9601&lt;&gt;""), 0), 0) - 1,"")</f>
        <v/>
      </c>
      <c r="K721" s="19" t="b">
        <v>0</v>
      </c>
      <c r="L721" s="17"/>
      <c r="M721" s="23"/>
    </row>
    <row r="722" spans="2:13" s="10" customFormat="1" ht="25.2" customHeight="1" outlineLevel="1" x14ac:dyDescent="0.45">
      <c r="B722" s="63"/>
      <c r="C722" s="24"/>
      <c r="D722" s="22" t="s">
        <v>263</v>
      </c>
      <c r="E722" s="13" t="s">
        <v>623</v>
      </c>
      <c r="F722" s="13"/>
      <c r="G722" s="13"/>
      <c r="H722" s="14"/>
      <c r="I722" s="20" t="s">
        <v>33</v>
      </c>
      <c r="J722" s="15" t="str" cm="1">
        <f t="array" ref="J722">IF(B722&lt;&gt;"",MATCH(TRUE, INDEX((B723:B$9601&lt;&gt;""), 0), 0) - 1,"")</f>
        <v/>
      </c>
      <c r="K722" s="19" t="b">
        <v>0</v>
      </c>
      <c r="L722" s="17"/>
      <c r="M722" s="23"/>
    </row>
    <row r="723" spans="2:13" s="10" customFormat="1" ht="25.2" customHeight="1" outlineLevel="1" x14ac:dyDescent="0.45">
      <c r="B723" s="63"/>
      <c r="C723" s="24"/>
      <c r="D723" s="22" t="s">
        <v>264</v>
      </c>
      <c r="E723" s="13" t="s">
        <v>623</v>
      </c>
      <c r="F723" s="13"/>
      <c r="G723" s="13"/>
      <c r="H723" s="14"/>
      <c r="I723" s="20" t="s">
        <v>33</v>
      </c>
      <c r="J723" s="15" t="str" cm="1">
        <f t="array" ref="J723">IF(B723&lt;&gt;"",MATCH(TRUE, INDEX((B724:B$9601&lt;&gt;""), 0), 0) - 1,"")</f>
        <v/>
      </c>
      <c r="K723" s="19" t="b">
        <v>0</v>
      </c>
      <c r="L723" s="17"/>
      <c r="M723" s="23"/>
    </row>
    <row r="724" spans="2:13" s="10" customFormat="1" ht="25.2" customHeight="1" outlineLevel="1" x14ac:dyDescent="0.45">
      <c r="B724" s="63"/>
      <c r="C724" s="24"/>
      <c r="D724" s="22" t="s">
        <v>265</v>
      </c>
      <c r="E724" s="13" t="s">
        <v>623</v>
      </c>
      <c r="F724" s="13"/>
      <c r="G724" s="13"/>
      <c r="H724" s="14"/>
      <c r="I724" s="20" t="s">
        <v>33</v>
      </c>
      <c r="J724" s="15" t="str" cm="1">
        <f t="array" ref="J724">IF(B724&lt;&gt;"",MATCH(TRUE, INDEX((B725:B$9601&lt;&gt;""), 0), 0) - 1,"")</f>
        <v/>
      </c>
      <c r="K724" s="19" t="b">
        <v>0</v>
      </c>
      <c r="L724" s="17"/>
      <c r="M724" s="23"/>
    </row>
    <row r="725" spans="2:13" s="10" customFormat="1" ht="25.2" customHeight="1" outlineLevel="1" x14ac:dyDescent="0.45">
      <c r="B725" s="63"/>
      <c r="C725" s="24"/>
      <c r="D725" s="22" t="s">
        <v>266</v>
      </c>
      <c r="E725" s="13" t="s">
        <v>623</v>
      </c>
      <c r="F725" s="13"/>
      <c r="G725" s="13"/>
      <c r="H725" s="14"/>
      <c r="I725" s="20" t="s">
        <v>33</v>
      </c>
      <c r="J725" s="15" t="str" cm="1">
        <f t="array" ref="J725">IF(B725&lt;&gt;"",MATCH(TRUE, INDEX((B726:B$9601&lt;&gt;""), 0), 0) - 1,"")</f>
        <v/>
      </c>
      <c r="K725" s="19" t="b">
        <v>0</v>
      </c>
      <c r="L725" s="17"/>
      <c r="M725" s="23"/>
    </row>
    <row r="726" spans="2:13" s="10" customFormat="1" ht="25.2" customHeight="1" outlineLevel="1" x14ac:dyDescent="0.45">
      <c r="B726" s="63"/>
      <c r="C726" s="24"/>
      <c r="D726" s="22" t="s">
        <v>267</v>
      </c>
      <c r="E726" s="13" t="s">
        <v>623</v>
      </c>
      <c r="F726" s="13"/>
      <c r="G726" s="13"/>
      <c r="H726" s="14"/>
      <c r="I726" s="20" t="s">
        <v>33</v>
      </c>
      <c r="J726" s="15" t="str" cm="1">
        <f t="array" ref="J726">IF(B726&lt;&gt;"",MATCH(TRUE, INDEX((B727:B$9601&lt;&gt;""), 0), 0) - 1,"")</f>
        <v/>
      </c>
      <c r="K726" s="19" t="b">
        <v>0</v>
      </c>
      <c r="L726" s="17"/>
      <c r="M726" s="23"/>
    </row>
    <row r="727" spans="2:13" s="10" customFormat="1" ht="25.2" customHeight="1" outlineLevel="1" x14ac:dyDescent="0.45">
      <c r="B727" s="63"/>
      <c r="C727" s="24"/>
      <c r="D727" s="22" t="s">
        <v>268</v>
      </c>
      <c r="E727" s="13" t="s">
        <v>623</v>
      </c>
      <c r="F727" s="13"/>
      <c r="G727" s="13"/>
      <c r="H727" s="14"/>
      <c r="I727" s="20" t="s">
        <v>33</v>
      </c>
      <c r="J727" s="15" t="str" cm="1">
        <f t="array" ref="J727">IF(B727&lt;&gt;"",MATCH(TRUE, INDEX((B728:B$9601&lt;&gt;""), 0), 0) - 1,"")</f>
        <v/>
      </c>
      <c r="K727" s="19" t="b">
        <v>0</v>
      </c>
      <c r="L727" s="17"/>
      <c r="M727" s="23"/>
    </row>
    <row r="728" spans="2:13" s="10" customFormat="1" ht="25.2" customHeight="1" outlineLevel="1" x14ac:dyDescent="0.45">
      <c r="B728" s="63"/>
      <c r="C728" s="24"/>
      <c r="D728" s="22" t="s">
        <v>269</v>
      </c>
      <c r="E728" s="13" t="s">
        <v>623</v>
      </c>
      <c r="F728" s="13"/>
      <c r="G728" s="13"/>
      <c r="H728" s="14"/>
      <c r="I728" s="20" t="s">
        <v>33</v>
      </c>
      <c r="J728" s="15" t="str" cm="1">
        <f t="array" ref="J728">IF(B728&lt;&gt;"",MATCH(TRUE, INDEX((B729:B$9601&lt;&gt;""), 0), 0) - 1,"")</f>
        <v/>
      </c>
      <c r="K728" s="19" t="b">
        <v>0</v>
      </c>
      <c r="L728" s="17"/>
      <c r="M728" s="23"/>
    </row>
    <row r="729" spans="2:13" s="10" customFormat="1" ht="25.2" customHeight="1" outlineLevel="1" x14ac:dyDescent="0.45">
      <c r="B729" s="63"/>
      <c r="C729" s="24"/>
      <c r="D729" s="22" t="s">
        <v>270</v>
      </c>
      <c r="E729" s="13" t="s">
        <v>623</v>
      </c>
      <c r="F729" s="13"/>
      <c r="G729" s="13"/>
      <c r="H729" s="14"/>
      <c r="I729" s="20" t="s">
        <v>33</v>
      </c>
      <c r="J729" s="15" t="str" cm="1">
        <f t="array" ref="J729">IF(B729&lt;&gt;"",MATCH(TRUE, INDEX((B730:B$9601&lt;&gt;""), 0), 0) - 1,"")</f>
        <v/>
      </c>
      <c r="K729" s="19" t="b">
        <v>0</v>
      </c>
      <c r="L729" s="17"/>
      <c r="M729" s="23"/>
    </row>
    <row r="730" spans="2:13" s="10" customFormat="1" ht="25.2" customHeight="1" outlineLevel="1" x14ac:dyDescent="0.45">
      <c r="B730" s="63"/>
      <c r="C730" s="24"/>
      <c r="D730" s="22" t="s">
        <v>271</v>
      </c>
      <c r="E730" s="13" t="s">
        <v>623</v>
      </c>
      <c r="F730" s="13"/>
      <c r="G730" s="13"/>
      <c r="H730" s="14"/>
      <c r="I730" s="20" t="s">
        <v>33</v>
      </c>
      <c r="J730" s="15" t="str" cm="1">
        <f t="array" ref="J730">IF(B730&lt;&gt;"",MATCH(TRUE, INDEX((B731:B$9601&lt;&gt;""), 0), 0) - 1,"")</f>
        <v/>
      </c>
      <c r="K730" s="19" t="b">
        <v>0</v>
      </c>
      <c r="L730" s="17"/>
      <c r="M730" s="23"/>
    </row>
    <row r="731" spans="2:13" s="10" customFormat="1" ht="25.2" customHeight="1" outlineLevel="1" x14ac:dyDescent="0.45">
      <c r="B731" s="63"/>
      <c r="C731" s="24"/>
      <c r="D731" s="22" t="s">
        <v>272</v>
      </c>
      <c r="E731" s="13" t="s">
        <v>623</v>
      </c>
      <c r="F731" s="13"/>
      <c r="G731" s="13"/>
      <c r="H731" s="14"/>
      <c r="I731" s="20" t="s">
        <v>33</v>
      </c>
      <c r="J731" s="15" t="str" cm="1">
        <f t="array" ref="J731">IF(B731&lt;&gt;"",MATCH(TRUE, INDEX((B732:B$9601&lt;&gt;""), 0), 0) - 1,"")</f>
        <v/>
      </c>
      <c r="K731" s="19" t="b">
        <v>0</v>
      </c>
      <c r="L731" s="17"/>
      <c r="M731" s="23"/>
    </row>
    <row r="732" spans="2:13" s="10" customFormat="1" ht="25.2" customHeight="1" outlineLevel="1" x14ac:dyDescent="0.45">
      <c r="B732" s="63"/>
      <c r="C732" s="24"/>
      <c r="D732" s="22" t="s">
        <v>273</v>
      </c>
      <c r="E732" s="13" t="s">
        <v>623</v>
      </c>
      <c r="F732" s="13"/>
      <c r="G732" s="13"/>
      <c r="H732" s="14"/>
      <c r="I732" s="20" t="s">
        <v>33</v>
      </c>
      <c r="J732" s="15" t="str" cm="1">
        <f t="array" ref="J732">IF(B732&lt;&gt;"",MATCH(TRUE, INDEX((B733:B$9601&lt;&gt;""), 0), 0) - 1,"")</f>
        <v/>
      </c>
      <c r="K732" s="19" t="b">
        <v>0</v>
      </c>
      <c r="L732" s="17"/>
      <c r="M732" s="23"/>
    </row>
    <row r="733" spans="2:13" s="10" customFormat="1" ht="25.2" customHeight="1" outlineLevel="1" x14ac:dyDescent="0.45">
      <c r="B733" s="63"/>
      <c r="C733" s="24"/>
      <c r="D733" s="22" t="s">
        <v>274</v>
      </c>
      <c r="E733" s="13" t="s">
        <v>623</v>
      </c>
      <c r="F733" s="13"/>
      <c r="G733" s="13"/>
      <c r="H733" s="14"/>
      <c r="I733" s="20" t="s">
        <v>33</v>
      </c>
      <c r="J733" s="15" t="str" cm="1">
        <f t="array" ref="J733">IF(B733&lt;&gt;"",MATCH(TRUE, INDEX((B734:B$9601&lt;&gt;""), 0), 0) - 1,"")</f>
        <v/>
      </c>
      <c r="K733" s="19" t="b">
        <v>0</v>
      </c>
      <c r="L733" s="17"/>
      <c r="M733" s="23"/>
    </row>
    <row r="734" spans="2:13" s="10" customFormat="1" ht="25.2" customHeight="1" outlineLevel="1" x14ac:dyDescent="0.45">
      <c r="B734" s="63"/>
      <c r="C734" s="24"/>
      <c r="D734" s="22" t="s">
        <v>275</v>
      </c>
      <c r="E734" s="13" t="s">
        <v>623</v>
      </c>
      <c r="F734" s="13"/>
      <c r="G734" s="13"/>
      <c r="H734" s="14"/>
      <c r="I734" s="20" t="s">
        <v>33</v>
      </c>
      <c r="J734" s="15" t="str" cm="1">
        <f t="array" ref="J734">IF(B734&lt;&gt;"",MATCH(TRUE, INDEX((B735:B$9601&lt;&gt;""), 0), 0) - 1,"")</f>
        <v/>
      </c>
      <c r="K734" s="19" t="b">
        <v>0</v>
      </c>
      <c r="L734" s="17"/>
      <c r="M734" s="23"/>
    </row>
    <row r="735" spans="2:13" s="10" customFormat="1" ht="25.2" customHeight="1" outlineLevel="1" x14ac:dyDescent="0.45">
      <c r="B735" s="63"/>
      <c r="C735" s="24"/>
      <c r="D735" s="77" t="s">
        <v>108</v>
      </c>
      <c r="E735" s="13" t="s">
        <v>623</v>
      </c>
      <c r="F735" s="13"/>
      <c r="G735" s="13"/>
      <c r="H735" s="14"/>
      <c r="I735" s="20" t="s">
        <v>33</v>
      </c>
      <c r="J735" s="15" t="str" cm="1">
        <f t="array" ref="J735">IF(B735&lt;&gt;"",MATCH(TRUE, INDEX((B736:B$9601&lt;&gt;""), 0), 0) - 1,"")</f>
        <v/>
      </c>
      <c r="K735" s="19" t="b">
        <v>0</v>
      </c>
      <c r="L735" s="17"/>
      <c r="M735" s="23"/>
    </row>
    <row r="736" spans="2:13" s="10" customFormat="1" ht="25.2" customHeight="1" outlineLevel="1" x14ac:dyDescent="0.45">
      <c r="B736" s="63"/>
      <c r="C736" s="24"/>
      <c r="D736" s="77" t="s">
        <v>109</v>
      </c>
      <c r="E736" s="13" t="s">
        <v>623</v>
      </c>
      <c r="F736" s="13"/>
      <c r="G736" s="13"/>
      <c r="H736" s="14"/>
      <c r="I736" s="20" t="s">
        <v>33</v>
      </c>
      <c r="J736" s="15" t="str" cm="1">
        <f t="array" ref="J736">IF(B736&lt;&gt;"",MATCH(TRUE, INDEX((B737:B$9601&lt;&gt;""), 0), 0) - 1,"")</f>
        <v/>
      </c>
      <c r="K736" s="19" t="b">
        <v>0</v>
      </c>
      <c r="L736" s="17"/>
      <c r="M736" s="23"/>
    </row>
    <row r="737" spans="2:13" s="10" customFormat="1" ht="25.2" customHeight="1" outlineLevel="1" x14ac:dyDescent="0.45">
      <c r="B737" s="63"/>
      <c r="C737" s="24"/>
      <c r="D737" s="77" t="s">
        <v>110</v>
      </c>
      <c r="E737" s="13" t="s">
        <v>623</v>
      </c>
      <c r="F737" s="13"/>
      <c r="G737" s="13"/>
      <c r="H737" s="14"/>
      <c r="I737" s="20" t="s">
        <v>33</v>
      </c>
      <c r="J737" s="15" t="str" cm="1">
        <f t="array" ref="J737">IF(B737&lt;&gt;"",MATCH(TRUE, INDEX((B738:B$9601&lt;&gt;""), 0), 0) - 1,"")</f>
        <v/>
      </c>
      <c r="K737" s="19" t="b">
        <v>0</v>
      </c>
      <c r="L737" s="17"/>
      <c r="M737" s="23"/>
    </row>
    <row r="738" spans="2:13" s="10" customFormat="1" ht="25.2" customHeight="1" outlineLevel="1" x14ac:dyDescent="0.45">
      <c r="B738" s="63"/>
      <c r="C738" s="24"/>
      <c r="D738" s="77" t="s">
        <v>111</v>
      </c>
      <c r="E738" s="13" t="s">
        <v>623</v>
      </c>
      <c r="F738" s="13"/>
      <c r="G738" s="13"/>
      <c r="H738" s="14"/>
      <c r="I738" s="20" t="s">
        <v>33</v>
      </c>
      <c r="J738" s="15" t="str" cm="1">
        <f t="array" ref="J738">IF(B738&lt;&gt;"",MATCH(TRUE, INDEX((B739:B$9601&lt;&gt;""), 0), 0) - 1,"")</f>
        <v/>
      </c>
      <c r="K738" s="19" t="b">
        <v>0</v>
      </c>
      <c r="L738" s="17"/>
      <c r="M738" s="23"/>
    </row>
    <row r="739" spans="2:13" s="10" customFormat="1" ht="25.2" customHeight="1" outlineLevel="1" x14ac:dyDescent="0.45">
      <c r="B739" s="63"/>
      <c r="C739" s="24"/>
      <c r="D739" s="77" t="s">
        <v>112</v>
      </c>
      <c r="E739" s="13" t="s">
        <v>623</v>
      </c>
      <c r="F739" s="13"/>
      <c r="G739" s="13"/>
      <c r="H739" s="14"/>
      <c r="I739" s="20" t="s">
        <v>33</v>
      </c>
      <c r="J739" s="15" t="str" cm="1">
        <f t="array" ref="J739">IF(B739&lt;&gt;"",MATCH(TRUE, INDEX((B740:B$9601&lt;&gt;""), 0), 0) - 1,"")</f>
        <v/>
      </c>
      <c r="K739" s="19" t="b">
        <v>0</v>
      </c>
      <c r="L739" s="17"/>
      <c r="M739" s="23"/>
    </row>
    <row r="740" spans="2:13" s="10" customFormat="1" ht="25.2" customHeight="1" outlineLevel="1" x14ac:dyDescent="0.45">
      <c r="B740" s="63"/>
      <c r="C740" s="24"/>
      <c r="D740" s="77" t="s">
        <v>113</v>
      </c>
      <c r="E740" s="13" t="s">
        <v>623</v>
      </c>
      <c r="F740" s="13"/>
      <c r="G740" s="13"/>
      <c r="H740" s="14"/>
      <c r="I740" s="20" t="s">
        <v>33</v>
      </c>
      <c r="J740" s="15" t="str" cm="1">
        <f t="array" ref="J740">IF(B740&lt;&gt;"",MATCH(TRUE, INDEX((B741:B$9601&lt;&gt;""), 0), 0) - 1,"")</f>
        <v/>
      </c>
      <c r="K740" s="19" t="b">
        <v>0</v>
      </c>
      <c r="L740" s="17"/>
      <c r="M740" s="23"/>
    </row>
    <row r="741" spans="2:13" s="10" customFormat="1" ht="25.2" customHeight="1" outlineLevel="1" x14ac:dyDescent="0.45">
      <c r="B741" s="63"/>
      <c r="C741" s="24"/>
      <c r="D741" s="22" t="s">
        <v>235</v>
      </c>
      <c r="E741" s="13" t="s">
        <v>623</v>
      </c>
      <c r="F741" s="13"/>
      <c r="G741" s="13"/>
      <c r="H741" s="14"/>
      <c r="I741" s="20" t="s">
        <v>33</v>
      </c>
      <c r="J741" s="15" t="str" cm="1">
        <f t="array" ref="J741">IF(B741&lt;&gt;"",MATCH(TRUE, INDEX((B742:B$9601&lt;&gt;""), 0), 0) - 1,"")</f>
        <v/>
      </c>
      <c r="K741" s="19" t="b">
        <v>0</v>
      </c>
      <c r="L741" s="17"/>
      <c r="M741" s="23"/>
    </row>
    <row r="742" spans="2:13" s="10" customFormat="1" ht="25.2" customHeight="1" x14ac:dyDescent="0.45">
      <c r="B742" s="63">
        <v>59</v>
      </c>
      <c r="C742" s="74" t="s">
        <v>467</v>
      </c>
      <c r="D742" s="22" t="s">
        <v>459</v>
      </c>
      <c r="E742" s="13" t="s">
        <v>623</v>
      </c>
      <c r="F742" s="13"/>
      <c r="G742" s="13"/>
      <c r="H742" s="14" t="str">
        <f>IF(K742=100, "FINISH", IF(K742&gt;0, "IN PROGRESS", IF(K742=0, "SCHED-OK", "")))</f>
        <v>SCHED-OK</v>
      </c>
      <c r="I742" s="20" t="s">
        <v>80</v>
      </c>
      <c r="J742" s="15" cm="1">
        <f t="array" ref="J742">IF(B742&lt;&gt;"",MATCH(TRUE, INDEX((B743:B$9601&lt;&gt;""), 0), 0) - 1,"")</f>
        <v>12</v>
      </c>
      <c r="K742" s="16">
        <f>IF(J742&gt;0, COUNTIF(K743:INDEX(K743:K$9577, J742), TRUE)/J742*100, "")</f>
        <v>0</v>
      </c>
      <c r="L742" s="17" t="s">
        <v>20</v>
      </c>
      <c r="M742" s="18"/>
    </row>
    <row r="743" spans="2:13" s="10" customFormat="1" ht="25.2" customHeight="1" outlineLevel="1" x14ac:dyDescent="0.45">
      <c r="B743" s="63"/>
      <c r="C743" s="24"/>
      <c r="D743" s="22" t="s">
        <v>250</v>
      </c>
      <c r="E743" s="13" t="s">
        <v>623</v>
      </c>
      <c r="F743" s="13"/>
      <c r="G743" s="13"/>
      <c r="H743" s="14"/>
      <c r="I743" s="20" t="s">
        <v>33</v>
      </c>
      <c r="J743" s="15" t="str" cm="1">
        <f t="array" ref="J743">IF(B743&lt;&gt;"",MATCH(TRUE, INDEX((B744:B$9601&lt;&gt;""), 0), 0) - 1,"")</f>
        <v/>
      </c>
      <c r="K743" s="19" t="b">
        <v>0</v>
      </c>
      <c r="L743" s="17"/>
      <c r="M743" s="23"/>
    </row>
    <row r="744" spans="2:13" s="10" customFormat="1" ht="25.2" customHeight="1" outlineLevel="1" x14ac:dyDescent="0.45">
      <c r="B744" s="63"/>
      <c r="C744" s="24"/>
      <c r="D744" s="22" t="s">
        <v>251</v>
      </c>
      <c r="E744" s="13" t="s">
        <v>623</v>
      </c>
      <c r="F744" s="13"/>
      <c r="G744" s="13"/>
      <c r="H744" s="14"/>
      <c r="I744" s="20" t="s">
        <v>33</v>
      </c>
      <c r="J744" s="15" t="str" cm="1">
        <f t="array" ref="J744">IF(B744&lt;&gt;"",MATCH(TRUE, INDEX((B745:B$9601&lt;&gt;""), 0), 0) - 1,"")</f>
        <v/>
      </c>
      <c r="K744" s="19" t="b">
        <v>0</v>
      </c>
      <c r="L744" s="17"/>
      <c r="M744" s="23"/>
    </row>
    <row r="745" spans="2:13" s="10" customFormat="1" ht="25.2" customHeight="1" outlineLevel="1" x14ac:dyDescent="0.45">
      <c r="B745" s="63"/>
      <c r="C745" s="24"/>
      <c r="D745" s="22" t="s">
        <v>276</v>
      </c>
      <c r="E745" s="13" t="s">
        <v>623</v>
      </c>
      <c r="F745" s="13"/>
      <c r="G745" s="13"/>
      <c r="H745" s="14"/>
      <c r="I745" s="20" t="s">
        <v>33</v>
      </c>
      <c r="J745" s="15" t="str" cm="1">
        <f t="array" ref="J745">IF(B745&lt;&gt;"",MATCH(TRUE, INDEX((B746:B$9601&lt;&gt;""), 0), 0) - 1,"")</f>
        <v/>
      </c>
      <c r="K745" s="19" t="b">
        <v>0</v>
      </c>
      <c r="L745" s="17"/>
      <c r="M745" s="23"/>
    </row>
    <row r="746" spans="2:13" s="10" customFormat="1" ht="25.2" customHeight="1" outlineLevel="1" x14ac:dyDescent="0.45">
      <c r="B746" s="63"/>
      <c r="C746" s="24"/>
      <c r="D746" s="22" t="s">
        <v>253</v>
      </c>
      <c r="E746" s="13" t="s">
        <v>623</v>
      </c>
      <c r="F746" s="13"/>
      <c r="G746" s="13"/>
      <c r="H746" s="14"/>
      <c r="I746" s="20" t="s">
        <v>33</v>
      </c>
      <c r="J746" s="15" t="str" cm="1">
        <f t="array" ref="J746">IF(B746&lt;&gt;"",MATCH(TRUE, INDEX((B747:B$9601&lt;&gt;""), 0), 0) - 1,"")</f>
        <v/>
      </c>
      <c r="K746" s="19" t="b">
        <v>0</v>
      </c>
      <c r="L746" s="17"/>
      <c r="M746" s="23"/>
    </row>
    <row r="747" spans="2:13" s="10" customFormat="1" ht="25.2" customHeight="1" outlineLevel="1" x14ac:dyDescent="0.45">
      <c r="B747" s="63"/>
      <c r="C747" s="24"/>
      <c r="D747" s="22" t="s">
        <v>254</v>
      </c>
      <c r="E747" s="13" t="s">
        <v>623</v>
      </c>
      <c r="F747" s="13"/>
      <c r="G747" s="13"/>
      <c r="H747" s="14"/>
      <c r="I747" s="20" t="s">
        <v>33</v>
      </c>
      <c r="J747" s="15" t="str" cm="1">
        <f t="array" ref="J747">IF(B747&lt;&gt;"",MATCH(TRUE, INDEX((B748:B$9601&lt;&gt;""), 0), 0) - 1,"")</f>
        <v/>
      </c>
      <c r="K747" s="19" t="b">
        <v>0</v>
      </c>
      <c r="L747" s="17"/>
      <c r="M747" s="23"/>
    </row>
    <row r="748" spans="2:13" s="10" customFormat="1" ht="25.2" customHeight="1" outlineLevel="1" x14ac:dyDescent="0.45">
      <c r="B748" s="63"/>
      <c r="C748" s="24"/>
      <c r="D748" s="22" t="s">
        <v>255</v>
      </c>
      <c r="E748" s="13" t="s">
        <v>623</v>
      </c>
      <c r="F748" s="13"/>
      <c r="G748" s="13"/>
      <c r="H748" s="14"/>
      <c r="I748" s="20" t="s">
        <v>33</v>
      </c>
      <c r="J748" s="15" t="str" cm="1">
        <f t="array" ref="J748">IF(B748&lt;&gt;"",MATCH(TRUE, INDEX((B749:B$9601&lt;&gt;""), 0), 0) - 1,"")</f>
        <v/>
      </c>
      <c r="K748" s="19" t="b">
        <v>0</v>
      </c>
      <c r="L748" s="17"/>
      <c r="M748" s="23"/>
    </row>
    <row r="749" spans="2:13" s="10" customFormat="1" ht="25.2" customHeight="1" outlineLevel="1" x14ac:dyDescent="0.45">
      <c r="B749" s="63"/>
      <c r="C749" s="24"/>
      <c r="D749" s="22" t="s">
        <v>277</v>
      </c>
      <c r="E749" s="13" t="s">
        <v>623</v>
      </c>
      <c r="F749" s="13"/>
      <c r="G749" s="13"/>
      <c r="H749" s="14"/>
      <c r="I749" s="20" t="s">
        <v>33</v>
      </c>
      <c r="J749" s="15" t="str" cm="1">
        <f t="array" ref="J749">IF(B749&lt;&gt;"",MATCH(TRUE, INDEX((B750:B$9601&lt;&gt;""), 0), 0) - 1,"")</f>
        <v/>
      </c>
      <c r="K749" s="19" t="b">
        <v>0</v>
      </c>
      <c r="L749" s="17"/>
      <c r="M749" s="23"/>
    </row>
    <row r="750" spans="2:13" s="10" customFormat="1" ht="25.2" customHeight="1" outlineLevel="1" x14ac:dyDescent="0.45">
      <c r="B750" s="63"/>
      <c r="C750" s="24"/>
      <c r="D750" s="22" t="s">
        <v>261</v>
      </c>
      <c r="E750" s="13" t="s">
        <v>623</v>
      </c>
      <c r="F750" s="13"/>
      <c r="G750" s="13"/>
      <c r="H750" s="14"/>
      <c r="I750" s="20" t="s">
        <v>33</v>
      </c>
      <c r="J750" s="15" t="str" cm="1">
        <f t="array" ref="J750">IF(B750&lt;&gt;"",MATCH(TRUE, INDEX((B751:B$9601&lt;&gt;""), 0), 0) - 1,"")</f>
        <v/>
      </c>
      <c r="K750" s="19" t="b">
        <v>0</v>
      </c>
      <c r="L750" s="17"/>
      <c r="M750" s="23"/>
    </row>
    <row r="751" spans="2:13" s="10" customFormat="1" ht="25.2" customHeight="1" outlineLevel="1" x14ac:dyDescent="0.45">
      <c r="B751" s="63"/>
      <c r="C751" s="24"/>
      <c r="D751" s="22" t="s">
        <v>278</v>
      </c>
      <c r="E751" s="13" t="s">
        <v>623</v>
      </c>
      <c r="F751" s="13"/>
      <c r="G751" s="13"/>
      <c r="H751" s="14"/>
      <c r="I751" s="20" t="s">
        <v>33</v>
      </c>
      <c r="J751" s="15" t="str" cm="1">
        <f t="array" ref="J751">IF(B751&lt;&gt;"",MATCH(TRUE, INDEX((B752:B$9601&lt;&gt;""), 0), 0) - 1,"")</f>
        <v/>
      </c>
      <c r="K751" s="19" t="b">
        <v>0</v>
      </c>
      <c r="L751" s="17"/>
      <c r="M751" s="23"/>
    </row>
    <row r="752" spans="2:13" s="10" customFormat="1" ht="25.2" customHeight="1" outlineLevel="1" x14ac:dyDescent="0.45">
      <c r="B752" s="63"/>
      <c r="C752" s="24"/>
      <c r="D752" s="22" t="s">
        <v>279</v>
      </c>
      <c r="E752" s="13" t="s">
        <v>623</v>
      </c>
      <c r="F752" s="13"/>
      <c r="G752" s="13"/>
      <c r="H752" s="14"/>
      <c r="I752" s="20" t="s">
        <v>33</v>
      </c>
      <c r="J752" s="15" t="str" cm="1">
        <f t="array" ref="J752">IF(B752&lt;&gt;"",MATCH(TRUE, INDEX((B753:B$9601&lt;&gt;""), 0), 0) - 1,"")</f>
        <v/>
      </c>
      <c r="K752" s="19" t="b">
        <v>0</v>
      </c>
      <c r="L752" s="17"/>
      <c r="M752" s="23"/>
    </row>
    <row r="753" spans="2:13" s="10" customFormat="1" ht="25.2" customHeight="1" outlineLevel="1" x14ac:dyDescent="0.45">
      <c r="B753" s="63"/>
      <c r="C753" s="24"/>
      <c r="D753" s="22" t="s">
        <v>264</v>
      </c>
      <c r="E753" s="13" t="s">
        <v>623</v>
      </c>
      <c r="F753" s="13"/>
      <c r="G753" s="13"/>
      <c r="H753" s="14"/>
      <c r="I753" s="20" t="s">
        <v>33</v>
      </c>
      <c r="J753" s="15" t="str" cm="1">
        <f t="array" ref="J753">IF(B753&lt;&gt;"",MATCH(TRUE, INDEX((B754:B$9601&lt;&gt;""), 0), 0) - 1,"")</f>
        <v/>
      </c>
      <c r="K753" s="19" t="b">
        <v>0</v>
      </c>
      <c r="L753" s="17"/>
      <c r="M753" s="23"/>
    </row>
    <row r="754" spans="2:13" s="10" customFormat="1" ht="25.2" customHeight="1" outlineLevel="1" x14ac:dyDescent="0.45">
      <c r="B754" s="64"/>
      <c r="C754" s="24"/>
      <c r="D754" s="22" t="s">
        <v>235</v>
      </c>
      <c r="E754" s="13" t="s">
        <v>623</v>
      </c>
      <c r="F754" s="13"/>
      <c r="G754" s="13"/>
      <c r="H754" s="14"/>
      <c r="I754" s="20" t="s">
        <v>33</v>
      </c>
      <c r="J754" s="15" t="str" cm="1">
        <f t="array" ref="J754">IF(B754&lt;&gt;"",MATCH(TRUE, INDEX((B755:B$9601&lt;&gt;""), 0), 0) - 1,"")</f>
        <v/>
      </c>
      <c r="K754" s="19" t="b">
        <v>0</v>
      </c>
      <c r="L754" s="17"/>
      <c r="M754" s="23"/>
    </row>
    <row r="755" spans="2:13" s="10" customFormat="1" ht="25.2" customHeight="1" x14ac:dyDescent="0.45">
      <c r="B755" s="63">
        <v>60</v>
      </c>
      <c r="C755" s="74" t="s">
        <v>467</v>
      </c>
      <c r="D755" s="22" t="s">
        <v>460</v>
      </c>
      <c r="E755" s="13" t="s">
        <v>623</v>
      </c>
      <c r="F755" s="13"/>
      <c r="G755" s="13"/>
      <c r="H755" s="14" t="str">
        <f>IF(K755=100, "FINISH", IF(K755&gt;0, "IN PROGRESS", IF(K755=0, "SCHED-OK", "")))</f>
        <v>SCHED-OK</v>
      </c>
      <c r="I755" s="20" t="s">
        <v>215</v>
      </c>
      <c r="J755" s="15" cm="1">
        <f t="array" ref="J755">IF(B755&lt;&gt;"",MATCH(TRUE, INDEX((B756:B$9601&lt;&gt;""), 0), 0) - 1,"")</f>
        <v>8</v>
      </c>
      <c r="K755" s="16">
        <f>IF(J755&gt;0, COUNTIF(K756:INDEX(K756:K$9577, J755), TRUE)/J755*100, "")</f>
        <v>0</v>
      </c>
      <c r="L755" s="31" t="s">
        <v>20</v>
      </c>
      <c r="M755" s="18"/>
    </row>
    <row r="756" spans="2:13" s="10" customFormat="1" ht="25.2" customHeight="1" outlineLevel="1" x14ac:dyDescent="0.45">
      <c r="B756" s="63"/>
      <c r="C756" s="24"/>
      <c r="D756" s="22" t="s">
        <v>250</v>
      </c>
      <c r="E756" s="13" t="s">
        <v>623</v>
      </c>
      <c r="F756" s="13"/>
      <c r="G756" s="13"/>
      <c r="H756" s="14"/>
      <c r="I756" s="20" t="s">
        <v>33</v>
      </c>
      <c r="J756" s="15" t="str" cm="1">
        <f t="array" ref="J756">IF(B756&lt;&gt;"",MATCH(TRUE, INDEX((B757:B$9601&lt;&gt;""), 0), 0) - 1,"")</f>
        <v/>
      </c>
      <c r="K756" s="19" t="b">
        <v>0</v>
      </c>
      <c r="L756" s="31"/>
      <c r="M756" s="23"/>
    </row>
    <row r="757" spans="2:13" s="10" customFormat="1" ht="25.2" customHeight="1" outlineLevel="1" x14ac:dyDescent="0.45">
      <c r="B757" s="63"/>
      <c r="C757" s="24"/>
      <c r="D757" s="22" t="s">
        <v>251</v>
      </c>
      <c r="E757" s="13" t="s">
        <v>623</v>
      </c>
      <c r="F757" s="13"/>
      <c r="G757" s="13"/>
      <c r="H757" s="14"/>
      <c r="I757" s="20" t="s">
        <v>33</v>
      </c>
      <c r="J757" s="15" t="str" cm="1">
        <f t="array" ref="J757">IF(B757&lt;&gt;"",MATCH(TRUE, INDEX((B758:B$9601&lt;&gt;""), 0), 0) - 1,"")</f>
        <v/>
      </c>
      <c r="K757" s="19" t="b">
        <v>0</v>
      </c>
      <c r="L757" s="31"/>
      <c r="M757" s="23"/>
    </row>
    <row r="758" spans="2:13" s="10" customFormat="1" ht="25.2" customHeight="1" outlineLevel="1" x14ac:dyDescent="0.45">
      <c r="B758" s="63"/>
      <c r="C758" s="24"/>
      <c r="D758" s="22" t="s">
        <v>276</v>
      </c>
      <c r="E758" s="13" t="s">
        <v>623</v>
      </c>
      <c r="F758" s="13"/>
      <c r="G758" s="13"/>
      <c r="H758" s="14"/>
      <c r="I758" s="20" t="s">
        <v>33</v>
      </c>
      <c r="J758" s="15" t="str" cm="1">
        <f t="array" ref="J758">IF(B758&lt;&gt;"",MATCH(TRUE, INDEX((B759:B$9601&lt;&gt;""), 0), 0) - 1,"")</f>
        <v/>
      </c>
      <c r="K758" s="19" t="b">
        <v>0</v>
      </c>
      <c r="L758" s="31"/>
      <c r="M758" s="23"/>
    </row>
    <row r="759" spans="2:13" s="10" customFormat="1" ht="25.2" customHeight="1" outlineLevel="1" x14ac:dyDescent="0.45">
      <c r="B759" s="63"/>
      <c r="C759" s="24"/>
      <c r="D759" s="22" t="s">
        <v>253</v>
      </c>
      <c r="E759" s="13" t="s">
        <v>623</v>
      </c>
      <c r="F759" s="13"/>
      <c r="G759" s="13"/>
      <c r="H759" s="14"/>
      <c r="I759" s="20" t="s">
        <v>33</v>
      </c>
      <c r="J759" s="15" t="str" cm="1">
        <f t="array" ref="J759">IF(B759&lt;&gt;"",MATCH(TRUE, INDEX((B760:B$9601&lt;&gt;""), 0), 0) - 1,"")</f>
        <v/>
      </c>
      <c r="K759" s="19" t="b">
        <v>0</v>
      </c>
      <c r="L759" s="31"/>
      <c r="M759" s="23"/>
    </row>
    <row r="760" spans="2:13" s="10" customFormat="1" ht="25.2" customHeight="1" outlineLevel="1" x14ac:dyDescent="0.45">
      <c r="B760" s="63"/>
      <c r="C760" s="24"/>
      <c r="D760" s="22" t="s">
        <v>254</v>
      </c>
      <c r="E760" s="13" t="s">
        <v>623</v>
      </c>
      <c r="F760" s="13"/>
      <c r="G760" s="13"/>
      <c r="H760" s="14"/>
      <c r="I760" s="20" t="s">
        <v>33</v>
      </c>
      <c r="J760" s="15" t="str" cm="1">
        <f t="array" ref="J760">IF(B760&lt;&gt;"",MATCH(TRUE, INDEX((B761:B$9601&lt;&gt;""), 0), 0) - 1,"")</f>
        <v/>
      </c>
      <c r="K760" s="19" t="b">
        <v>0</v>
      </c>
      <c r="L760" s="31"/>
      <c r="M760" s="23"/>
    </row>
    <row r="761" spans="2:13" s="10" customFormat="1" ht="25.2" customHeight="1" outlineLevel="1" x14ac:dyDescent="0.45">
      <c r="B761" s="63"/>
      <c r="C761" s="24"/>
      <c r="D761" s="22" t="s">
        <v>255</v>
      </c>
      <c r="E761" s="13" t="s">
        <v>623</v>
      </c>
      <c r="F761" s="13"/>
      <c r="G761" s="13"/>
      <c r="H761" s="14"/>
      <c r="I761" s="20" t="s">
        <v>33</v>
      </c>
      <c r="J761" s="15" t="str" cm="1">
        <f t="array" ref="J761">IF(B761&lt;&gt;"",MATCH(TRUE, INDEX((B762:B$9601&lt;&gt;""), 0), 0) - 1,"")</f>
        <v/>
      </c>
      <c r="K761" s="19" t="b">
        <v>0</v>
      </c>
      <c r="L761" s="31"/>
      <c r="M761" s="23"/>
    </row>
    <row r="762" spans="2:13" s="10" customFormat="1" ht="25.2" customHeight="1" outlineLevel="1" x14ac:dyDescent="0.45">
      <c r="B762" s="63"/>
      <c r="C762" s="24"/>
      <c r="D762" s="22" t="s">
        <v>277</v>
      </c>
      <c r="E762" s="13" t="s">
        <v>623</v>
      </c>
      <c r="F762" s="13"/>
      <c r="G762" s="13"/>
      <c r="H762" s="14"/>
      <c r="I762" s="20" t="s">
        <v>33</v>
      </c>
      <c r="J762" s="15" t="str" cm="1">
        <f t="array" ref="J762">IF(B762&lt;&gt;"",MATCH(TRUE, INDEX((B763:B$9601&lt;&gt;""), 0), 0) - 1,"")</f>
        <v/>
      </c>
      <c r="K762" s="19" t="b">
        <v>0</v>
      </c>
      <c r="L762" s="31"/>
      <c r="M762" s="23"/>
    </row>
    <row r="763" spans="2:13" s="10" customFormat="1" ht="25.2" customHeight="1" outlineLevel="1" x14ac:dyDescent="0.45">
      <c r="B763" s="63"/>
      <c r="C763" s="24"/>
      <c r="D763" s="22" t="s">
        <v>235</v>
      </c>
      <c r="E763" s="13" t="s">
        <v>623</v>
      </c>
      <c r="F763" s="13"/>
      <c r="G763" s="13"/>
      <c r="H763" s="14"/>
      <c r="I763" s="20" t="s">
        <v>33</v>
      </c>
      <c r="J763" s="15" t="str" cm="1">
        <f t="array" ref="J763">IF(B763&lt;&gt;"",MATCH(TRUE, INDEX((B764:B$9601&lt;&gt;""), 0), 0) - 1,"")</f>
        <v/>
      </c>
      <c r="K763" s="19" t="b">
        <v>0</v>
      </c>
      <c r="L763" s="31"/>
      <c r="M763" s="23"/>
    </row>
    <row r="764" spans="2:13" s="10" customFormat="1" ht="25.2" customHeight="1" x14ac:dyDescent="0.45">
      <c r="B764" s="63">
        <v>61</v>
      </c>
      <c r="C764" s="74" t="s">
        <v>467</v>
      </c>
      <c r="D764" s="28" t="s">
        <v>461</v>
      </c>
      <c r="E764" s="13" t="s">
        <v>623</v>
      </c>
      <c r="F764" s="13"/>
      <c r="G764" s="13"/>
      <c r="H764" s="14" t="str">
        <f>IF(K764=100, "FINISH", IF(K764&gt;0, "IN PROGRESS", IF(K764=0, "SCHED-OK", "")))</f>
        <v>IN PROGRESS</v>
      </c>
      <c r="I764" s="20" t="s">
        <v>215</v>
      </c>
      <c r="J764" s="15" cm="1">
        <f t="array" ref="J764">IF(B764&lt;&gt;"",MATCH(TRUE, INDEX((B765:B$9601&lt;&gt;""), 0), 0) - 1,"")</f>
        <v>12</v>
      </c>
      <c r="K764" s="16">
        <f>IF(J764&gt;0, COUNTIF(K765:INDEX(K765:K$9577, J764), TRUE)/J764*100, "")</f>
        <v>91.666666666666657</v>
      </c>
      <c r="L764" s="31" t="s">
        <v>20</v>
      </c>
      <c r="M764" s="18"/>
    </row>
    <row r="765" spans="2:13" s="10" customFormat="1" ht="25.2" customHeight="1" outlineLevel="1" x14ac:dyDescent="0.45">
      <c r="B765" s="63"/>
      <c r="C765" s="24"/>
      <c r="D765" s="22" t="s">
        <v>250</v>
      </c>
      <c r="E765" s="13" t="s">
        <v>623</v>
      </c>
      <c r="F765" s="13"/>
      <c r="G765" s="13"/>
      <c r="H765" s="20"/>
      <c r="I765" s="20" t="s">
        <v>33</v>
      </c>
      <c r="J765" s="15" t="str" cm="1">
        <f t="array" ref="J765">IF(B765&lt;&gt;"",MATCH(TRUE, INDEX((B766:B$9601&lt;&gt;""), 0), 0) - 1,"")</f>
        <v/>
      </c>
      <c r="K765" s="19" t="b">
        <v>1</v>
      </c>
      <c r="L765" s="31"/>
      <c r="M765" s="23"/>
    </row>
    <row r="766" spans="2:13" s="10" customFormat="1" ht="25.2" customHeight="1" outlineLevel="1" x14ac:dyDescent="0.45">
      <c r="B766" s="63"/>
      <c r="C766" s="24"/>
      <c r="D766" s="22" t="s">
        <v>251</v>
      </c>
      <c r="E766" s="13" t="s">
        <v>623</v>
      </c>
      <c r="F766" s="13"/>
      <c r="G766" s="13"/>
      <c r="H766" s="20"/>
      <c r="I766" s="20" t="s">
        <v>33</v>
      </c>
      <c r="J766" s="15" t="str" cm="1">
        <f t="array" ref="J766">IF(B766&lt;&gt;"",MATCH(TRUE, INDEX((B767:B$9601&lt;&gt;""), 0), 0) - 1,"")</f>
        <v/>
      </c>
      <c r="K766" s="19" t="b">
        <v>1</v>
      </c>
      <c r="L766" s="31"/>
      <c r="M766" s="23"/>
    </row>
    <row r="767" spans="2:13" s="10" customFormat="1" ht="25.2" customHeight="1" outlineLevel="1" x14ac:dyDescent="0.45">
      <c r="B767" s="63"/>
      <c r="C767" s="24"/>
      <c r="D767" s="22" t="s">
        <v>276</v>
      </c>
      <c r="E767" s="13" t="s">
        <v>623</v>
      </c>
      <c r="F767" s="13"/>
      <c r="G767" s="13"/>
      <c r="H767" s="20"/>
      <c r="I767" s="20" t="s">
        <v>33</v>
      </c>
      <c r="J767" s="15" t="str" cm="1">
        <f t="array" ref="J767">IF(B767&lt;&gt;"",MATCH(TRUE, INDEX((B768:B$9601&lt;&gt;""), 0), 0) - 1,"")</f>
        <v/>
      </c>
      <c r="K767" s="19" t="b">
        <v>1</v>
      </c>
      <c r="L767" s="31"/>
      <c r="M767" s="23"/>
    </row>
    <row r="768" spans="2:13" s="10" customFormat="1" ht="25.2" customHeight="1" outlineLevel="1" x14ac:dyDescent="0.45">
      <c r="B768" s="63"/>
      <c r="C768" s="24"/>
      <c r="D768" s="22" t="s">
        <v>253</v>
      </c>
      <c r="E768" s="13" t="s">
        <v>623</v>
      </c>
      <c r="F768" s="13"/>
      <c r="G768" s="13"/>
      <c r="H768" s="20"/>
      <c r="I768" s="20" t="s">
        <v>33</v>
      </c>
      <c r="J768" s="15" t="str" cm="1">
        <f t="array" ref="J768">IF(B768&lt;&gt;"",MATCH(TRUE, INDEX((B769:B$9601&lt;&gt;""), 0), 0) - 1,"")</f>
        <v/>
      </c>
      <c r="K768" s="19" t="b">
        <v>1</v>
      </c>
      <c r="L768" s="31"/>
      <c r="M768" s="23"/>
    </row>
    <row r="769" spans="2:13" s="10" customFormat="1" ht="25.2" customHeight="1" outlineLevel="1" x14ac:dyDescent="0.45">
      <c r="B769" s="63"/>
      <c r="C769" s="24"/>
      <c r="D769" s="22" t="s">
        <v>254</v>
      </c>
      <c r="E769" s="13" t="s">
        <v>623</v>
      </c>
      <c r="F769" s="13"/>
      <c r="G769" s="13"/>
      <c r="H769" s="20"/>
      <c r="I769" s="20" t="s">
        <v>33</v>
      </c>
      <c r="J769" s="15" t="str" cm="1">
        <f t="array" ref="J769">IF(B769&lt;&gt;"",MATCH(TRUE, INDEX((B770:B$9601&lt;&gt;""), 0), 0) - 1,"")</f>
        <v/>
      </c>
      <c r="K769" s="19" t="b">
        <v>1</v>
      </c>
      <c r="L769" s="31"/>
      <c r="M769" s="23"/>
    </row>
    <row r="770" spans="2:13" s="10" customFormat="1" ht="25.2" customHeight="1" outlineLevel="1" x14ac:dyDescent="0.45">
      <c r="B770" s="63"/>
      <c r="C770" s="24"/>
      <c r="D770" s="22" t="s">
        <v>255</v>
      </c>
      <c r="E770" s="13" t="s">
        <v>623</v>
      </c>
      <c r="F770" s="13"/>
      <c r="G770" s="13"/>
      <c r="H770" s="20"/>
      <c r="I770" s="20" t="s">
        <v>33</v>
      </c>
      <c r="J770" s="15" t="str" cm="1">
        <f t="array" ref="J770">IF(B770&lt;&gt;"",MATCH(TRUE, INDEX((B771:B$9601&lt;&gt;""), 0), 0) - 1,"")</f>
        <v/>
      </c>
      <c r="K770" s="19" t="b">
        <v>1</v>
      </c>
      <c r="L770" s="31"/>
      <c r="M770" s="23"/>
    </row>
    <row r="771" spans="2:13" s="10" customFormat="1" ht="25.2" customHeight="1" outlineLevel="1" x14ac:dyDescent="0.45">
      <c r="B771" s="63"/>
      <c r="C771" s="24"/>
      <c r="D771" s="22" t="s">
        <v>277</v>
      </c>
      <c r="E771" s="13" t="s">
        <v>623</v>
      </c>
      <c r="F771" s="13"/>
      <c r="G771" s="13"/>
      <c r="H771" s="20"/>
      <c r="I771" s="20" t="s">
        <v>33</v>
      </c>
      <c r="J771" s="15" t="str" cm="1">
        <f t="array" ref="J771">IF(B771&lt;&gt;"",MATCH(TRUE, INDEX((B772:B$9601&lt;&gt;""), 0), 0) - 1,"")</f>
        <v/>
      </c>
      <c r="K771" s="19" t="b">
        <v>1</v>
      </c>
      <c r="L771" s="31"/>
      <c r="M771" s="23"/>
    </row>
    <row r="772" spans="2:13" s="10" customFormat="1" ht="25.2" customHeight="1" outlineLevel="1" x14ac:dyDescent="0.45">
      <c r="B772" s="63"/>
      <c r="C772" s="24"/>
      <c r="D772" s="22" t="s">
        <v>261</v>
      </c>
      <c r="E772" s="13" t="s">
        <v>623</v>
      </c>
      <c r="F772" s="13"/>
      <c r="G772" s="13"/>
      <c r="H772" s="20"/>
      <c r="I772" s="20" t="s">
        <v>33</v>
      </c>
      <c r="J772" s="15" t="str" cm="1">
        <f t="array" ref="J772">IF(B772&lt;&gt;"",MATCH(TRUE, INDEX((B773:B$9601&lt;&gt;""), 0), 0) - 1,"")</f>
        <v/>
      </c>
      <c r="K772" s="19" t="b">
        <v>1</v>
      </c>
      <c r="L772" s="31"/>
      <c r="M772" s="23"/>
    </row>
    <row r="773" spans="2:13" s="10" customFormat="1" ht="25.2" customHeight="1" outlineLevel="1" x14ac:dyDescent="0.45">
      <c r="B773" s="63"/>
      <c r="C773" s="24"/>
      <c r="D773" s="22" t="s">
        <v>262</v>
      </c>
      <c r="E773" s="13" t="s">
        <v>623</v>
      </c>
      <c r="F773" s="13"/>
      <c r="G773" s="13"/>
      <c r="H773" s="20"/>
      <c r="I773" s="20" t="s">
        <v>33</v>
      </c>
      <c r="J773" s="15" t="str" cm="1">
        <f t="array" ref="J773">IF(B773&lt;&gt;"",MATCH(TRUE, INDEX((B774:B$9601&lt;&gt;""), 0), 0) - 1,"")</f>
        <v/>
      </c>
      <c r="K773" s="19" t="b">
        <v>1</v>
      </c>
      <c r="L773" s="31"/>
      <c r="M773" s="23"/>
    </row>
    <row r="774" spans="2:13" s="10" customFormat="1" ht="25.2" customHeight="1" outlineLevel="1" x14ac:dyDescent="0.45">
      <c r="B774" s="63"/>
      <c r="C774" s="24"/>
      <c r="D774" s="22" t="s">
        <v>263</v>
      </c>
      <c r="E774" s="13" t="s">
        <v>623</v>
      </c>
      <c r="F774" s="13"/>
      <c r="G774" s="13"/>
      <c r="H774" s="20"/>
      <c r="I774" s="20" t="s">
        <v>33</v>
      </c>
      <c r="J774" s="15" t="str" cm="1">
        <f t="array" ref="J774">IF(B774&lt;&gt;"",MATCH(TRUE, INDEX((B775:B$9601&lt;&gt;""), 0), 0) - 1,"")</f>
        <v/>
      </c>
      <c r="K774" s="19" t="b">
        <v>1</v>
      </c>
      <c r="L774" s="31"/>
      <c r="M774" s="23"/>
    </row>
    <row r="775" spans="2:13" s="10" customFormat="1" ht="25.2" customHeight="1" outlineLevel="1" x14ac:dyDescent="0.45">
      <c r="B775" s="64"/>
      <c r="C775" s="24"/>
      <c r="D775" s="84" t="s">
        <v>264</v>
      </c>
      <c r="E775" s="13" t="s">
        <v>623</v>
      </c>
      <c r="F775" s="13"/>
      <c r="G775" s="13"/>
      <c r="H775" s="32"/>
      <c r="I775" s="20" t="s">
        <v>33</v>
      </c>
      <c r="J775" s="15" t="str" cm="1">
        <f t="array" ref="J775">IF(B775&lt;&gt;"",MATCH(TRUE, INDEX((B776:B$9601&lt;&gt;""), 0), 0) - 1,"")</f>
        <v/>
      </c>
      <c r="K775" s="19" t="b">
        <v>1</v>
      </c>
      <c r="L775" s="33"/>
      <c r="M775" s="34"/>
    </row>
    <row r="776" spans="2:13" s="10" customFormat="1" ht="25.2" customHeight="1" outlineLevel="1" x14ac:dyDescent="0.45">
      <c r="B776" s="63"/>
      <c r="C776" s="24"/>
      <c r="D776" s="22" t="s">
        <v>235</v>
      </c>
      <c r="E776" s="13" t="s">
        <v>623</v>
      </c>
      <c r="F776" s="13"/>
      <c r="G776" s="13"/>
      <c r="H776" s="20"/>
      <c r="I776" s="20" t="s">
        <v>33</v>
      </c>
      <c r="J776" s="15" t="str" cm="1">
        <f t="array" ref="J776">IF(B776&lt;&gt;"",MATCH(TRUE, INDEX((B777:B$9601&lt;&gt;""), 0), 0) - 1,"")</f>
        <v/>
      </c>
      <c r="K776" s="19" t="b">
        <v>0</v>
      </c>
      <c r="L776" s="35"/>
      <c r="M776" s="23"/>
    </row>
    <row r="777" spans="2:13" s="10" customFormat="1" ht="25.2" customHeight="1" x14ac:dyDescent="0.45">
      <c r="B777" s="63">
        <v>62</v>
      </c>
      <c r="C777" s="74" t="s">
        <v>467</v>
      </c>
      <c r="D777" s="28" t="s">
        <v>462</v>
      </c>
      <c r="E777" s="13" t="s">
        <v>623</v>
      </c>
      <c r="F777" s="13"/>
      <c r="G777" s="13"/>
      <c r="H777" s="14" t="str">
        <f>IF(K777=100, "FINISH", IF(K777&gt;0, "IN PROGRESS", IF(K777=0, "SCHED-OK", "")))</f>
        <v>SCHED-OK</v>
      </c>
      <c r="I777" s="20" t="s">
        <v>19</v>
      </c>
      <c r="J777" s="15" cm="1">
        <f t="array" ref="J777">IF(B777&lt;&gt;"",MATCH(TRUE, INDEX((B778:B$9601&lt;&gt;""), 0), 0) - 1,"")</f>
        <v>5</v>
      </c>
      <c r="K777" s="16">
        <f>IF(J777&gt;0, COUNTIF(K778:INDEX(K778:K$9577, J777), TRUE)/J777*100, "")</f>
        <v>0</v>
      </c>
      <c r="L777" s="35" t="s">
        <v>20</v>
      </c>
      <c r="M777" s="18"/>
    </row>
    <row r="778" spans="2:13" s="10" customFormat="1" ht="25.2" customHeight="1" outlineLevel="1" x14ac:dyDescent="0.45">
      <c r="B778" s="63"/>
      <c r="C778" s="24"/>
      <c r="D778" s="22" t="s">
        <v>280</v>
      </c>
      <c r="E778" s="13" t="s">
        <v>623</v>
      </c>
      <c r="F778" s="13"/>
      <c r="G778" s="13"/>
      <c r="H778" s="12"/>
      <c r="I778" s="20"/>
      <c r="J778" s="15" t="str" cm="1">
        <f t="array" ref="J778">IF(B778&lt;&gt;"",MATCH(TRUE, INDEX((B779:B$9601&lt;&gt;""), 0), 0) - 1,"")</f>
        <v/>
      </c>
      <c r="K778" s="19" t="b">
        <v>0</v>
      </c>
      <c r="L778" s="30"/>
      <c r="M778" s="23"/>
    </row>
    <row r="779" spans="2:13" s="10" customFormat="1" ht="25.2" customHeight="1" outlineLevel="1" x14ac:dyDescent="0.45">
      <c r="B779" s="63"/>
      <c r="C779" s="24"/>
      <c r="D779" s="22" t="s">
        <v>620</v>
      </c>
      <c r="E779" s="13" t="s">
        <v>623</v>
      </c>
      <c r="F779" s="13"/>
      <c r="G779" s="13"/>
      <c r="H779" s="12"/>
      <c r="I779" s="20"/>
      <c r="J779" s="15" t="str" cm="1">
        <f t="array" ref="J779">IF(B779&lt;&gt;"",MATCH(TRUE, INDEX((B780:B$9601&lt;&gt;""), 0), 0) - 1,"")</f>
        <v/>
      </c>
      <c r="K779" s="19" t="b">
        <v>0</v>
      </c>
      <c r="L779" s="30"/>
      <c r="M779" s="23"/>
    </row>
    <row r="780" spans="2:13" s="10" customFormat="1" ht="25.2" customHeight="1" outlineLevel="1" x14ac:dyDescent="0.45">
      <c r="B780" s="63"/>
      <c r="C780" s="24"/>
      <c r="D780" s="22" t="s">
        <v>621</v>
      </c>
      <c r="E780" s="13" t="s">
        <v>623</v>
      </c>
      <c r="F780" s="13"/>
      <c r="G780" s="13"/>
      <c r="H780" s="12"/>
      <c r="I780" s="20"/>
      <c r="J780" s="15" t="str" cm="1">
        <f t="array" ref="J780">IF(B780&lt;&gt;"",MATCH(TRUE, INDEX((B781:B$9601&lt;&gt;""), 0), 0) - 1,"")</f>
        <v/>
      </c>
      <c r="K780" s="19" t="b">
        <v>0</v>
      </c>
      <c r="L780" s="30"/>
      <c r="M780" s="23"/>
    </row>
    <row r="781" spans="2:13" s="10" customFormat="1" ht="25.2" customHeight="1" outlineLevel="1" x14ac:dyDescent="0.45">
      <c r="B781" s="63"/>
      <c r="C781" s="24"/>
      <c r="D781" s="22" t="s">
        <v>622</v>
      </c>
      <c r="E781" s="13" t="s">
        <v>623</v>
      </c>
      <c r="F781" s="13"/>
      <c r="G781" s="13"/>
      <c r="H781" s="12"/>
      <c r="I781" s="20"/>
      <c r="J781" s="15" t="str" cm="1">
        <f t="array" ref="J781">IF(B781&lt;&gt;"",MATCH(TRUE, INDEX((B782:B$9601&lt;&gt;""), 0), 0) - 1,"")</f>
        <v/>
      </c>
      <c r="K781" s="19" t="b">
        <v>0</v>
      </c>
      <c r="L781" s="30"/>
      <c r="M781" s="23"/>
    </row>
    <row r="782" spans="2:13" s="10" customFormat="1" ht="25.2" customHeight="1" outlineLevel="1" x14ac:dyDescent="0.45">
      <c r="B782" s="63"/>
      <c r="C782" s="24"/>
      <c r="D782" s="22" t="s">
        <v>281</v>
      </c>
      <c r="E782" s="13" t="s">
        <v>623</v>
      </c>
      <c r="F782" s="13"/>
      <c r="G782" s="13"/>
      <c r="H782" s="12"/>
      <c r="I782" s="20"/>
      <c r="J782" s="15" t="str" cm="1">
        <f t="array" ref="J782">IF(B782&lt;&gt;"",MATCH(TRUE, INDEX((B783:B$9601&lt;&gt;""), 0), 0) - 1,"")</f>
        <v/>
      </c>
      <c r="K782" s="19" t="b">
        <v>0</v>
      </c>
      <c r="L782" s="30"/>
      <c r="M782" s="23"/>
    </row>
    <row r="783" spans="2:13" s="10" customFormat="1" ht="25.2" customHeight="1" x14ac:dyDescent="0.45">
      <c r="B783" s="63">
        <v>63</v>
      </c>
      <c r="C783" s="74" t="s">
        <v>467</v>
      </c>
      <c r="D783" s="22" t="s">
        <v>282</v>
      </c>
      <c r="E783" s="13" t="s">
        <v>623</v>
      </c>
      <c r="F783" s="13"/>
      <c r="G783" s="13"/>
      <c r="H783" s="14" t="str">
        <f>IF(K783=100, "FINISH", IF(K783&gt;0, "IN PROGRESS", IF(K783=0, "SCHED-OK", "")))</f>
        <v>IN PROGRESS</v>
      </c>
      <c r="I783" s="20" t="s">
        <v>76</v>
      </c>
      <c r="J783" s="15" cm="1">
        <f t="array" ref="J783">IF(B783&lt;&gt;"",MATCH(TRUE, INDEX((B784:B$9601&lt;&gt;""), 0), 0) - 1,"")</f>
        <v>6</v>
      </c>
      <c r="K783" s="16">
        <f>IF(J783&gt;0, COUNTIF(K784:INDEX(K784:K$9577, J783), TRUE)/J783*100, "")</f>
        <v>83.333333333333343</v>
      </c>
      <c r="L783" s="35" t="s">
        <v>20</v>
      </c>
      <c r="M783" s="18"/>
    </row>
    <row r="784" spans="2:13" s="10" customFormat="1" ht="25.2" customHeight="1" outlineLevel="1" x14ac:dyDescent="0.45">
      <c r="B784" s="63"/>
      <c r="C784" s="24"/>
      <c r="D784" s="22" t="s">
        <v>191</v>
      </c>
      <c r="E784" s="13" t="s">
        <v>623</v>
      </c>
      <c r="F784" s="13"/>
      <c r="G784" s="13"/>
      <c r="H784" s="20"/>
      <c r="I784" s="20"/>
      <c r="J784" s="15" t="str" cm="1">
        <f t="array" ref="J784">IF(B784&lt;&gt;"",MATCH(TRUE, INDEX((B785:B$9601&lt;&gt;""), 0), 0) - 1,"")</f>
        <v/>
      </c>
      <c r="K784" s="19" t="b">
        <v>0</v>
      </c>
      <c r="L784" s="35"/>
      <c r="M784" s="23"/>
    </row>
    <row r="785" spans="2:13" s="10" customFormat="1" ht="25.2" customHeight="1" outlineLevel="1" x14ac:dyDescent="0.45">
      <c r="B785" s="63"/>
      <c r="C785" s="24"/>
      <c r="D785" s="22" t="s">
        <v>283</v>
      </c>
      <c r="E785" s="13" t="s">
        <v>623</v>
      </c>
      <c r="F785" s="13"/>
      <c r="G785" s="13"/>
      <c r="H785" s="20"/>
      <c r="I785" s="20"/>
      <c r="J785" s="15" t="str" cm="1">
        <f t="array" ref="J785">IF(B785&lt;&gt;"",MATCH(TRUE, INDEX((B786:B$9601&lt;&gt;""), 0), 0) - 1,"")</f>
        <v/>
      </c>
      <c r="K785" s="19" t="b">
        <v>1</v>
      </c>
      <c r="L785" s="35"/>
      <c r="M785" s="23"/>
    </row>
    <row r="786" spans="2:13" s="10" customFormat="1" ht="25.2" customHeight="1" outlineLevel="1" x14ac:dyDescent="0.45">
      <c r="B786" s="63"/>
      <c r="C786" s="24"/>
      <c r="D786" s="22" t="s">
        <v>283</v>
      </c>
      <c r="E786" s="13" t="s">
        <v>623</v>
      </c>
      <c r="F786" s="13"/>
      <c r="G786" s="13"/>
      <c r="H786" s="20"/>
      <c r="I786" s="20"/>
      <c r="J786" s="15" t="str" cm="1">
        <f t="array" ref="J786">IF(B786&lt;&gt;"",MATCH(TRUE, INDEX((B787:B$9601&lt;&gt;""), 0), 0) - 1,"")</f>
        <v/>
      </c>
      <c r="K786" s="19" t="b">
        <v>1</v>
      </c>
      <c r="L786" s="35"/>
      <c r="M786" s="23"/>
    </row>
    <row r="787" spans="2:13" s="10" customFormat="1" ht="25.2" customHeight="1" outlineLevel="1" x14ac:dyDescent="0.45">
      <c r="B787" s="63"/>
      <c r="C787" s="24"/>
      <c r="D787" s="22" t="s">
        <v>283</v>
      </c>
      <c r="E787" s="13" t="s">
        <v>623</v>
      </c>
      <c r="F787" s="13"/>
      <c r="G787" s="13"/>
      <c r="H787" s="20"/>
      <c r="I787" s="20"/>
      <c r="J787" s="15" t="str" cm="1">
        <f t="array" ref="J787">IF(B787&lt;&gt;"",MATCH(TRUE, INDEX((B788:B$9601&lt;&gt;""), 0), 0) - 1,"")</f>
        <v/>
      </c>
      <c r="K787" s="19" t="b">
        <v>1</v>
      </c>
      <c r="L787" s="35"/>
      <c r="M787" s="23"/>
    </row>
    <row r="788" spans="2:13" s="10" customFormat="1" ht="25.2" customHeight="1" outlineLevel="1" x14ac:dyDescent="0.45">
      <c r="B788" s="63"/>
      <c r="C788" s="24"/>
      <c r="D788" s="22" t="s">
        <v>284</v>
      </c>
      <c r="E788" s="13" t="s">
        <v>623</v>
      </c>
      <c r="F788" s="13"/>
      <c r="G788" s="13"/>
      <c r="H788" s="20"/>
      <c r="I788" s="20"/>
      <c r="J788" s="15" t="str" cm="1">
        <f t="array" ref="J788">IF(B788&lt;&gt;"",MATCH(TRUE, INDEX((B789:B$9601&lt;&gt;""), 0), 0) - 1,"")</f>
        <v/>
      </c>
      <c r="K788" s="19" t="b">
        <v>1</v>
      </c>
      <c r="L788" s="35"/>
      <c r="M788" s="23"/>
    </row>
    <row r="789" spans="2:13" s="10" customFormat="1" ht="25.2" customHeight="1" outlineLevel="1" x14ac:dyDescent="0.45">
      <c r="B789" s="63"/>
      <c r="C789" s="24"/>
      <c r="D789" s="22" t="s">
        <v>285</v>
      </c>
      <c r="E789" s="13" t="s">
        <v>623</v>
      </c>
      <c r="F789" s="13"/>
      <c r="G789" s="13"/>
      <c r="H789" s="20"/>
      <c r="I789" s="20"/>
      <c r="J789" s="15" t="str" cm="1">
        <f t="array" ref="J789">IF(B789&lt;&gt;"",MATCH(TRUE, INDEX((B790:B$9601&lt;&gt;""), 0), 0) - 1,"")</f>
        <v/>
      </c>
      <c r="K789" s="19" t="b">
        <v>1</v>
      </c>
      <c r="L789" s="35"/>
      <c r="M789" s="23"/>
    </row>
    <row r="790" spans="2:13" s="10" customFormat="1" ht="25.2" customHeight="1" thickBot="1" x14ac:dyDescent="0.5">
      <c r="B790" s="65">
        <v>64</v>
      </c>
      <c r="C790" s="74" t="s">
        <v>467</v>
      </c>
      <c r="D790" s="38" t="s">
        <v>286</v>
      </c>
      <c r="E790" s="13" t="s">
        <v>623</v>
      </c>
      <c r="F790" s="13"/>
      <c r="G790" s="13"/>
      <c r="H790" s="42" t="str">
        <f>IF(K790=100, "FINISH", IF(K790&gt;0, "IN PROGRESS", IF(K790=0, "SCHED-OK", "")))</f>
        <v>IN PROGRESS</v>
      </c>
      <c r="I790" s="43" t="s">
        <v>215</v>
      </c>
      <c r="J790" s="44">
        <v>6</v>
      </c>
      <c r="K790" s="16">
        <f>IF(J790&gt;0, COUNTIF(K791:INDEX(K791:K$9577, J790), TRUE)/J790*100, "")</f>
        <v>33.333333333333329</v>
      </c>
      <c r="L790" s="45" t="s">
        <v>20</v>
      </c>
      <c r="M790" s="46"/>
    </row>
    <row r="791" spans="2:13" s="10" customFormat="1" ht="25.2" customHeight="1" outlineLevel="1" x14ac:dyDescent="0.45">
      <c r="B791" s="29"/>
      <c r="C791" s="48"/>
      <c r="D791" s="49" t="s">
        <v>287</v>
      </c>
      <c r="E791" s="13" t="s">
        <v>623</v>
      </c>
      <c r="F791" s="50"/>
      <c r="G791" s="50"/>
      <c r="H791" s="51"/>
      <c r="I791" s="47"/>
      <c r="J791" s="52" t="str" cm="1">
        <f t="array" ref="J791">IF(B791&lt;&gt;"",MATCH(TRUE, INDEX((B792:B$9601&lt;&gt;""), 0), 0) - 1,"")</f>
        <v/>
      </c>
      <c r="K791" s="19" t="b">
        <v>1</v>
      </c>
      <c r="L791" s="53"/>
      <c r="M791" s="60"/>
    </row>
    <row r="792" spans="2:13" s="10" customFormat="1" ht="25.2" customHeight="1" outlineLevel="1" x14ac:dyDescent="0.45">
      <c r="B792" s="11"/>
      <c r="C792" s="24"/>
      <c r="D792" s="22" t="s">
        <v>288</v>
      </c>
      <c r="E792" s="13" t="s">
        <v>623</v>
      </c>
      <c r="F792" s="13"/>
      <c r="G792" s="13"/>
      <c r="H792" s="14"/>
      <c r="I792" s="12"/>
      <c r="J792" s="15" t="str" cm="1">
        <f t="array" ref="J792">IF(B792&lt;&gt;"",MATCH(TRUE, INDEX((B793:B$9601&lt;&gt;""), 0), 0) - 1,"")</f>
        <v/>
      </c>
      <c r="K792" s="19" t="b">
        <v>1</v>
      </c>
      <c r="L792" s="30"/>
      <c r="M792" s="23"/>
    </row>
    <row r="793" spans="2:13" s="10" customFormat="1" ht="25.2" customHeight="1" outlineLevel="1" x14ac:dyDescent="0.45">
      <c r="B793" s="11"/>
      <c r="C793" s="24"/>
      <c r="D793" s="22" t="s">
        <v>289</v>
      </c>
      <c r="E793" s="13" t="s">
        <v>623</v>
      </c>
      <c r="F793" s="13"/>
      <c r="G793" s="13"/>
      <c r="H793" s="14"/>
      <c r="I793" s="12"/>
      <c r="J793" s="15" t="str" cm="1">
        <f t="array" ref="J793">IF(B793&lt;&gt;"",MATCH(TRUE, INDEX((B794:B$9601&lt;&gt;""), 0), 0) - 1,"")</f>
        <v/>
      </c>
      <c r="K793" s="19" t="b">
        <v>0</v>
      </c>
      <c r="L793" s="30"/>
      <c r="M793" s="23"/>
    </row>
    <row r="794" spans="2:13" s="10" customFormat="1" ht="25.2" customHeight="1" outlineLevel="1" x14ac:dyDescent="0.45">
      <c r="B794" s="11"/>
      <c r="C794" s="24"/>
      <c r="D794" s="22" t="s">
        <v>290</v>
      </c>
      <c r="E794" s="13" t="s">
        <v>623</v>
      </c>
      <c r="F794" s="13"/>
      <c r="G794" s="13"/>
      <c r="H794" s="14"/>
      <c r="I794" s="12"/>
      <c r="J794" s="15" t="str" cm="1">
        <f t="array" ref="J794">IF(B794&lt;&gt;"",MATCH(TRUE, INDEX((B795:B$9601&lt;&gt;""), 0), 0) - 1,"")</f>
        <v/>
      </c>
      <c r="K794" s="19" t="b">
        <v>0</v>
      </c>
      <c r="L794" s="30"/>
      <c r="M794" s="23"/>
    </row>
    <row r="795" spans="2:13" s="10" customFormat="1" ht="25.2" customHeight="1" outlineLevel="1" x14ac:dyDescent="0.45">
      <c r="B795" s="11"/>
      <c r="C795" s="24"/>
      <c r="D795" s="22" t="s">
        <v>291</v>
      </c>
      <c r="E795" s="13">
        <v>45859</v>
      </c>
      <c r="F795" s="13"/>
      <c r="G795" s="13"/>
      <c r="H795" s="14"/>
      <c r="I795" s="12"/>
      <c r="J795" s="15" t="str" cm="1">
        <f t="array" ref="J795">IF(B795&lt;&gt;"",MATCH(TRUE, INDEX((B796:B$9601&lt;&gt;""), 0), 0) - 1,"")</f>
        <v/>
      </c>
      <c r="K795" s="19" t="b">
        <v>0</v>
      </c>
      <c r="L795" s="30"/>
      <c r="M795" s="23"/>
    </row>
    <row r="796" spans="2:13" s="10" customFormat="1" ht="25.2" customHeight="1" outlineLevel="1" thickBot="1" x14ac:dyDescent="0.5">
      <c r="B796" s="36"/>
      <c r="C796" s="37"/>
      <c r="D796" s="61" t="s">
        <v>292</v>
      </c>
      <c r="E796" s="39">
        <v>45859</v>
      </c>
      <c r="F796" s="39"/>
      <c r="G796" s="39"/>
      <c r="H796" s="42"/>
      <c r="I796" s="40"/>
      <c r="J796" s="44" t="str" cm="1">
        <f t="array" ref="J796">IF(B796&lt;&gt;"",MATCH(TRUE, INDEX((B797:B$9601&lt;&gt;""), 0), 0) - 1,"")</f>
        <v/>
      </c>
      <c r="K796" s="19" t="b">
        <v>0</v>
      </c>
      <c r="L796" s="41"/>
      <c r="M796" s="62"/>
    </row>
    <row r="797" spans="2:13" s="10" customFormat="1" ht="25.2" customHeight="1" x14ac:dyDescent="0.45"/>
  </sheetData>
  <mergeCells count="13">
    <mergeCell ref="A1:P1"/>
    <mergeCell ref="B2:L2"/>
    <mergeCell ref="B3:P3"/>
    <mergeCell ref="J9:J10"/>
    <mergeCell ref="K9:K10"/>
    <mergeCell ref="L9:L10"/>
    <mergeCell ref="M9:M10"/>
    <mergeCell ref="B9:B10"/>
    <mergeCell ref="C9:C10"/>
    <mergeCell ref="D9:D10"/>
    <mergeCell ref="E9:G9"/>
    <mergeCell ref="H9:H10"/>
    <mergeCell ref="I9:I10"/>
  </mergeCells>
  <phoneticPr fontId="14" type="noConversion"/>
  <conditionalFormatting sqref="C186">
    <cfRule type="expression" dxfId="128" priority="229">
      <formula>$C173&lt;&gt;""</formula>
    </cfRule>
  </conditionalFormatting>
  <conditionalFormatting sqref="C187">
    <cfRule type="expression" dxfId="127" priority="74">
      <formula>$C187&lt;&gt;""</formula>
    </cfRule>
  </conditionalFormatting>
  <conditionalFormatting sqref="C777">
    <cfRule type="expression" dxfId="126" priority="31">
      <formula>$C777&lt;&gt;""</formula>
    </cfRule>
  </conditionalFormatting>
  <conditionalFormatting sqref="C783">
    <cfRule type="expression" dxfId="125" priority="30">
      <formula>$C783&lt;&gt;""</formula>
    </cfRule>
  </conditionalFormatting>
  <conditionalFormatting sqref="C790">
    <cfRule type="expression" dxfId="124" priority="29">
      <formula>$C790&lt;&gt;""</formula>
    </cfRule>
  </conditionalFormatting>
  <conditionalFormatting sqref="D82">
    <cfRule type="expression" dxfId="123" priority="213">
      <formula>#REF!&lt;&gt;""</formula>
    </cfRule>
  </conditionalFormatting>
  <conditionalFormatting sqref="D134:D272">
    <cfRule type="expression" dxfId="122" priority="212">
      <formula>$C134&lt;&gt;""</formula>
    </cfRule>
  </conditionalFormatting>
  <conditionalFormatting sqref="E12:G21 F22:G790 E22:E794 B273:D763 J295:J796 I326:I485 K328:M330">
    <cfRule type="expression" dxfId="121" priority="32">
      <formula>$C12&lt;&gt;""</formula>
    </cfRule>
  </conditionalFormatting>
  <conditionalFormatting sqref="H12">
    <cfRule type="containsText" dxfId="120" priority="197" operator="containsText" text="PROGRESS">
      <formula>NOT(ISERROR(SEARCH("PROGRESS",H12)))</formula>
    </cfRule>
    <cfRule type="containsText" dxfId="119" priority="196" operator="containsText" text="FINISH">
      <formula>NOT(ISERROR(SEARCH("FINISH",H12)))</formula>
    </cfRule>
  </conditionalFormatting>
  <conditionalFormatting sqref="H12:H21">
    <cfRule type="expression" dxfId="118" priority="198">
      <formula>$C12&lt;&gt;""</formula>
    </cfRule>
  </conditionalFormatting>
  <conditionalFormatting sqref="H13:H21 H23:H31 H41 H156:H172 H174:H186 H188:H200 H202:H219 H221:H233 H235:H243 H245:H251 H253:H271 H317:H323 H337:H366 H368:H407 H409:H432 H434:H448 H450:H459 H495:H496 H498:H502 H504:H516 H518:H521 H523:H530 H532:H534 H536:H542 H544:H547 H549:H567 H569:H574 H576:H579 H581:H592 H594:H595 H597:H600 H602:H609 H611:H616 H626:H629 H631:H634 H636:H640 H642:H653 H655:H663 H665:H677 H702:H704 H706:H741 H743:H754 H756:H763 H461:H491 H295:H315 H273:H293 H618:H624">
    <cfRule type="containsText" dxfId="117" priority="224" operator="containsText" text="PROGRESS">
      <formula>NOT(ISERROR(SEARCH("PROGRESS",H13)))</formula>
    </cfRule>
  </conditionalFormatting>
  <conditionalFormatting sqref="H22 H32 H42:H52 H166">
    <cfRule type="containsText" dxfId="116" priority="194" operator="containsText" text="PROGRESS">
      <formula>NOT(ISERROR(SEARCH("PROGRESS",H22)))</formula>
    </cfRule>
  </conditionalFormatting>
  <conditionalFormatting sqref="H35">
    <cfRule type="containsText" dxfId="115" priority="27" operator="containsText" text="FINISH">
      <formula>NOT(ISERROR(SEARCH("FINISH",H35)))</formula>
    </cfRule>
    <cfRule type="containsText" dxfId="114" priority="28" operator="containsText" text="PROGRESS">
      <formula>NOT(ISERROR(SEARCH("PROGRESS",H35)))</formula>
    </cfRule>
  </conditionalFormatting>
  <conditionalFormatting sqref="H42 H41:I41">
    <cfRule type="expression" dxfId="113" priority="195">
      <formula>$C41&lt;&gt;""</formula>
    </cfRule>
  </conditionalFormatting>
  <conditionalFormatting sqref="H52:H99">
    <cfRule type="expression" dxfId="112" priority="23">
      <formula>$C52&lt;&gt;""</formula>
    </cfRule>
  </conditionalFormatting>
  <conditionalFormatting sqref="H53:H71 H73:H99 H101:H117 H119:H128 H130:H135 H137:H154">
    <cfRule type="containsText" dxfId="111" priority="77" operator="containsText" text="FINISH">
      <formula>NOT(ISERROR(SEARCH("FINISH",H53)))</formula>
    </cfRule>
    <cfRule type="containsText" dxfId="110" priority="78" operator="containsText" text="PROGRESS">
      <formula>NOT(ISERROR(SEARCH("PROGRESS",H53)))</formula>
    </cfRule>
  </conditionalFormatting>
  <conditionalFormatting sqref="H72">
    <cfRule type="containsText" dxfId="109" priority="21" operator="containsText" text="FINISH">
      <formula>NOT(ISERROR(SEARCH("FINISH",H72)))</formula>
    </cfRule>
    <cfRule type="containsText" dxfId="108" priority="22" operator="containsText" text="PROGRESS">
      <formula>NOT(ISERROR(SEARCH("PROGRESS",H72)))</formula>
    </cfRule>
  </conditionalFormatting>
  <conditionalFormatting sqref="H100">
    <cfRule type="containsText" dxfId="107" priority="18" operator="containsText" text="FINISH">
      <formula>NOT(ISERROR(SEARCH("FINISH",H100)))</formula>
    </cfRule>
    <cfRule type="containsText" dxfId="106" priority="19" operator="containsText" text="PROGRESS">
      <formula>NOT(ISERROR(SEARCH("PROGRESS",H100)))</formula>
    </cfRule>
  </conditionalFormatting>
  <conditionalFormatting sqref="H100:H117">
    <cfRule type="expression" dxfId="105" priority="20">
      <formula>$C100&lt;&gt;""</formula>
    </cfRule>
  </conditionalFormatting>
  <conditionalFormatting sqref="H111">
    <cfRule type="containsText" dxfId="104" priority="4" operator="containsText" text="FINISH">
      <formula>NOT(ISERROR(SEARCH("FINISH",H111)))</formula>
    </cfRule>
    <cfRule type="containsText" dxfId="103" priority="5" operator="containsText" text="PROGRESS">
      <formula>NOT(ISERROR(SEARCH("PROGRESS",H111)))</formula>
    </cfRule>
  </conditionalFormatting>
  <conditionalFormatting sqref="H118">
    <cfRule type="containsText" dxfId="102" priority="16" operator="containsText" text="PROGRESS">
      <formula>NOT(ISERROR(SEARCH("PROGRESS",H118)))</formula>
    </cfRule>
    <cfRule type="containsText" dxfId="101" priority="15" operator="containsText" text="FINISH">
      <formula>NOT(ISERROR(SEARCH("FINISH",H118)))</formula>
    </cfRule>
  </conditionalFormatting>
  <conditionalFormatting sqref="H118:H128">
    <cfRule type="expression" dxfId="100" priority="17">
      <formula>$C118&lt;&gt;""</formula>
    </cfRule>
  </conditionalFormatting>
  <conditionalFormatting sqref="H129">
    <cfRule type="expression" dxfId="99" priority="3">
      <formula>$C129&lt;&gt;""</formula>
    </cfRule>
    <cfRule type="containsText" dxfId="98" priority="2" operator="containsText" text="PROGRESS">
      <formula>NOT(ISERROR(SEARCH("PROGRESS",H129)))</formula>
    </cfRule>
    <cfRule type="containsText" dxfId="97" priority="1" operator="containsText" text="FINISH">
      <formula>NOT(ISERROR(SEARCH("FINISH",H129)))</formula>
    </cfRule>
  </conditionalFormatting>
  <conditionalFormatting sqref="H130:H154">
    <cfRule type="expression" dxfId="96" priority="14">
      <formula>$C130&lt;&gt;""</formula>
    </cfRule>
  </conditionalFormatting>
  <conditionalFormatting sqref="H136">
    <cfRule type="containsText" dxfId="95" priority="12" operator="containsText" text="FINISH">
      <formula>NOT(ISERROR(SEARCH("FINISH",H136)))</formula>
    </cfRule>
    <cfRule type="containsText" dxfId="94" priority="13" operator="containsText" text="PROGRESS">
      <formula>NOT(ISERROR(SEARCH("PROGRESS",H136)))</formula>
    </cfRule>
  </conditionalFormatting>
  <conditionalFormatting sqref="H155">
    <cfRule type="containsText" dxfId="93" priority="10" operator="containsText" text="PROGRESS">
      <formula>NOT(ISERROR(SEARCH("PROGRESS",H155)))</formula>
    </cfRule>
    <cfRule type="containsText" dxfId="92" priority="9" operator="containsText" text="FINISH">
      <formula>NOT(ISERROR(SEARCH("FINISH",H155)))</formula>
    </cfRule>
  </conditionalFormatting>
  <conditionalFormatting sqref="H155:H172">
    <cfRule type="expression" dxfId="91" priority="11">
      <formula>$C155&lt;&gt;""</formula>
    </cfRule>
  </conditionalFormatting>
  <conditionalFormatting sqref="H166 H42:H52 H22 H32">
    <cfRule type="containsText" dxfId="90" priority="193" operator="containsText" text="FINISH">
      <formula>NOT(ISERROR(SEARCH("FINISH",H22)))</formula>
    </cfRule>
  </conditionalFormatting>
  <conditionalFormatting sqref="H166">
    <cfRule type="containsText" dxfId="89" priority="166" operator="containsText" text="PROGRESS">
      <formula>NOT(ISERROR(SEARCH("PROGRESS",H166)))</formula>
    </cfRule>
    <cfRule type="containsText" dxfId="88" priority="165" operator="containsText" text="FINISH">
      <formula>NOT(ISERROR(SEARCH("FINISH",H166)))</formula>
    </cfRule>
  </conditionalFormatting>
  <conditionalFormatting sqref="H173 H187 H201 H220 H234 H244 H252 H272 H294 H316 H326:H335 H367 H408 H433 H449 H460">
    <cfRule type="containsText" dxfId="87" priority="191" operator="containsText" text="PROGRESS">
      <formula>NOT(ISERROR(SEARCH("PROGRESS",H173)))</formula>
    </cfRule>
  </conditionalFormatting>
  <conditionalFormatting sqref="H317:H323 H13:H21 H23:H31 H174:H186 H188:H200 H202:H219 H221:H233 H235:H243 H245:H251 H253:H271 H337:H366 H368:H407 H409:H432 H434:H448 H450:H459 H495:H496 H498:H502 H504:H516 H518:H521 H523:H530 H532:H534 H536:H542 H544:H547 H549:H567 H569:H574 H576:H579 H581:H592 H594:H595 H597:H600 H602:H609 H611:H616 H626:H629 H631:H634 H636:H640 H41 H156:H172 H642:H653 H655:H663 H665:H677 H702:H704 H706:H741 H743:H754 H756:H763">
    <cfRule type="containsText" dxfId="86" priority="223" operator="containsText" text="FINISH">
      <formula>NOT(ISERROR(SEARCH("FINISH",H13)))</formula>
    </cfRule>
  </conditionalFormatting>
  <conditionalFormatting sqref="H326:H331">
    <cfRule type="expression" dxfId="85" priority="6">
      <formula>$C326&lt;&gt;""</formula>
    </cfRule>
  </conditionalFormatting>
  <conditionalFormatting sqref="H326:H335 H173 H187 H201 H220 H234 H244 H252 H272:H316 H367 H408 H433 H449 H460:H491">
    <cfRule type="containsText" dxfId="84" priority="190" operator="containsText" text="FINISH">
      <formula>NOT(ISERROR(SEARCH("FINISH",H173)))</formula>
    </cfRule>
  </conditionalFormatting>
  <conditionalFormatting sqref="H332:H336">
    <cfRule type="expression" dxfId="83" priority="85">
      <formula>$C332&lt;&gt;""</formula>
    </cfRule>
  </conditionalFormatting>
  <conditionalFormatting sqref="H336">
    <cfRule type="containsText" dxfId="82" priority="83" operator="containsText" text="FINISH">
      <formula>NOT(ISERROR(SEARCH("FINISH",H336)))</formula>
    </cfRule>
    <cfRule type="containsText" dxfId="81" priority="84" operator="containsText" text="PROGRESS">
      <formula>NOT(ISERROR(SEARCH("PROGRESS",H336)))</formula>
    </cfRule>
  </conditionalFormatting>
  <conditionalFormatting sqref="H503 H517 H522 H531 H535 H548 H568 H575 H580">
    <cfRule type="containsText" dxfId="80" priority="188" operator="containsText" text="PROGRESS">
      <formula>NOT(ISERROR(SEARCH("PROGRESS",H503)))</formula>
    </cfRule>
    <cfRule type="containsText" dxfId="79" priority="187" operator="containsText" text="FINISH">
      <formula>NOT(ISERROR(SEARCH("FINISH",H503)))</formula>
    </cfRule>
  </conditionalFormatting>
  <conditionalFormatting sqref="H544:H640 L575:M575">
    <cfRule type="expression" dxfId="78" priority="199">
      <formula>$C544&lt;&gt;""</formula>
    </cfRule>
  </conditionalFormatting>
  <conditionalFormatting sqref="H593 H596 H601 H610 H617 H625 H630 H635 H641">
    <cfRule type="containsText" dxfId="77" priority="185" operator="containsText" text="PROGRESS">
      <formula>NOT(ISERROR(SEARCH("PROGRESS",H593)))</formula>
    </cfRule>
  </conditionalFormatting>
  <conditionalFormatting sqref="H593 H596 H601 H610 H617:H625 H630 H635 H641">
    <cfRule type="containsText" dxfId="76" priority="184" operator="containsText" text="FINISH">
      <formula>NOT(ISERROR(SEARCH("FINISH",H593)))</formula>
    </cfRule>
  </conditionalFormatting>
  <conditionalFormatting sqref="H641:H678 H684">
    <cfRule type="expression" dxfId="75" priority="186">
      <formula>$C641&lt;&gt;""</formula>
    </cfRule>
  </conditionalFormatting>
  <conditionalFormatting sqref="H654 H664 H678:H701">
    <cfRule type="containsText" dxfId="74" priority="182" operator="containsText" text="PROGRESS">
      <formula>NOT(ISERROR(SEARCH("PROGRESS",H654)))</formula>
    </cfRule>
  </conditionalFormatting>
  <conditionalFormatting sqref="H678:H701 H654 H664">
    <cfRule type="containsText" dxfId="73" priority="181" operator="containsText" text="FINISH">
      <formula>NOT(ISERROR(SEARCH("FINISH",H654)))</formula>
    </cfRule>
  </conditionalFormatting>
  <conditionalFormatting sqref="H679:H683">
    <cfRule type="expression" dxfId="72" priority="110">
      <formula>$C679&lt;&gt;""</formula>
    </cfRule>
  </conditionalFormatting>
  <conditionalFormatting sqref="H685:H700">
    <cfRule type="expression" dxfId="71" priority="99">
      <formula>$C685&lt;&gt;""</formula>
    </cfRule>
  </conditionalFormatting>
  <conditionalFormatting sqref="H701:H764">
    <cfRule type="expression" dxfId="70" priority="183">
      <formula>$C701&lt;&gt;""</formula>
    </cfRule>
  </conditionalFormatting>
  <conditionalFormatting sqref="H705 H742 H755 H764 H776:H777 H782:H783 H789:H790">
    <cfRule type="containsText" dxfId="69" priority="178" operator="containsText" text="FINISH">
      <formula>NOT(ISERROR(SEARCH("FINISH",H705)))</formula>
    </cfRule>
    <cfRule type="containsText" dxfId="68" priority="179" operator="containsText" text="PROGRESS">
      <formula>NOT(ISERROR(SEARCH("PROGRESS",H705)))</formula>
    </cfRule>
  </conditionalFormatting>
  <conditionalFormatting sqref="H782 H789 B782:D782 L782:M782 C784:C788 B789:D789 L789:M789 C791:C796 E795:E796">
    <cfRule type="expression" dxfId="67" priority="210">
      <formula>$C782&lt;&gt;""</formula>
    </cfRule>
  </conditionalFormatting>
  <conditionalFormatting sqref="H790">
    <cfRule type="expression" dxfId="66" priority="180">
      <formula>$C790&lt;&gt;""</formula>
    </cfRule>
  </conditionalFormatting>
  <conditionalFormatting sqref="H18:I31 H32 H173:H293 H294:J294 H337:H485 H491 H498:I542 H776:H777 H783 L12:M12 I12:I17 B12:D61 K13:M21 L22:M22 K23:M31 L32:M32 K33:M41 L42:M42 K43:M51 L52:M52 K53:M61 L62:M62 D62:D81 K63:M71 L72:M72 K73:M86 L87:M87 K88:M99 L100:M100 L111:M111 K112:M117 D117:D130 L118:M118 K119:M128 L129:M129 K130:M135 L136:M136 K137:M146 L147:M147 K148:M154 L155:M155 K156:M165 L166:M166 K167:M172 L173:M173 K174:M186 B186:B187 L187:M187 K188:M200 L201:M201 K202:M219 L220:M220 K221:M233 L234:M234 K235:M243 L244:M244 K245:M251 L252:M252 K253:M271 L272:M316 K317:M326 L327:M327 L331:M331 K332:M335 L336:M367 K368:M407 L408:M408 K409:M432 L433:M433 K434:M448 L449:M449 K450:M459 L460:M503 H495:I496 K504:M516 L517:M517 K518:M521 L522:M522 K523:M530 L531:M531 K532:M534 L535:M535 K536:M547 L548:M548 K549:M567 L568:M568 K569:M574 K576:M579 L580:M580 K581:M592 L593:M593 K594:M595 L596:M596 K597:M600 L601:M601 K602:M609 L610:M610 K611:M616 L617:M625 K626:M629 L630:M630 K631:M634 L635:M635 K636:M640 L641:M641 K642:M653 L654:M654 K655:M663 L664:M664 K665:M677 L678:M678 K679:M683 L684:M684 K685:M700 L701:M701 K702:M704 L705:M705 K706:M741 L742:M742 K743:M754 L755:M755 K756:M763 C764 K765:K776 B776:D776 L776:M776">
    <cfRule type="expression" dxfId="65" priority="200">
      <formula>$C12&lt;&gt;""</formula>
    </cfRule>
  </conditionalFormatting>
  <conditionalFormatting sqref="H35:I35">
    <cfRule type="expression" dxfId="64" priority="26">
      <formula>$C35&lt;&gt;""</formula>
    </cfRule>
  </conditionalFormatting>
  <conditionalFormatting sqref="H43:I51">
    <cfRule type="expression" dxfId="63" priority="109">
      <formula>$C43&lt;&gt;""</formula>
    </cfRule>
  </conditionalFormatting>
  <conditionalFormatting sqref="H295:I323 J12:J51 D783:D788">
    <cfRule type="expression" dxfId="62" priority="205">
      <formula>$C12&lt;&gt;""</formula>
    </cfRule>
  </conditionalFormatting>
  <conditionalFormatting sqref="H486:I490 I544:I776">
    <cfRule type="expression" dxfId="61" priority="211">
      <formula>$C486&lt;&gt;""</formula>
    </cfRule>
  </conditionalFormatting>
  <conditionalFormatting sqref="I782">
    <cfRule type="expression" dxfId="60" priority="202">
      <formula>$C782&lt;&gt;""</formula>
    </cfRule>
  </conditionalFormatting>
  <conditionalFormatting sqref="I789">
    <cfRule type="expression" dxfId="59" priority="201">
      <formula>$C789&lt;&gt;""</formula>
    </cfRule>
  </conditionalFormatting>
  <conditionalFormatting sqref="I52:J293 B62:C185 D83:D112 K101:M110 B188:C272">
    <cfRule type="expression" dxfId="58" priority="68">
      <formula>$C52&lt;&gt;""</formula>
    </cfRule>
  </conditionalFormatting>
  <conditionalFormatting sqref="K12">
    <cfRule type="expression" dxfId="57" priority="176">
      <formula>$B12&lt;&gt;""</formula>
    </cfRule>
  </conditionalFormatting>
  <conditionalFormatting sqref="K22 K32 K42 K62 K72 K87 K100 K111 K118 K129 K136">
    <cfRule type="expression" dxfId="56" priority="175">
      <formula>$B22&lt;&gt;""</formula>
    </cfRule>
  </conditionalFormatting>
  <conditionalFormatting sqref="K52">
    <cfRule type="expression" dxfId="55" priority="75">
      <formula>$B52&lt;&gt;""</formula>
    </cfRule>
  </conditionalFormatting>
  <conditionalFormatting sqref="K147">
    <cfRule type="expression" dxfId="54" priority="170">
      <formula>$B147&lt;&gt;""</formula>
    </cfRule>
  </conditionalFormatting>
  <conditionalFormatting sqref="K155">
    <cfRule type="expression" dxfId="53" priority="169">
      <formula>$B155&lt;&gt;""</formula>
    </cfRule>
  </conditionalFormatting>
  <conditionalFormatting sqref="K166">
    <cfRule type="expression" dxfId="52" priority="164">
      <formula>$B166&lt;&gt;""</formula>
    </cfRule>
  </conditionalFormatting>
  <conditionalFormatting sqref="K173">
    <cfRule type="expression" dxfId="51" priority="163">
      <formula>$B173&lt;&gt;""</formula>
    </cfRule>
  </conditionalFormatting>
  <conditionalFormatting sqref="K187">
    <cfRule type="expression" dxfId="50" priority="162">
      <formula>$B187&lt;&gt;""</formula>
    </cfRule>
  </conditionalFormatting>
  <conditionalFormatting sqref="K201">
    <cfRule type="expression" dxfId="49" priority="161">
      <formula>$B201&lt;&gt;""</formula>
    </cfRule>
  </conditionalFormatting>
  <conditionalFormatting sqref="K220">
    <cfRule type="expression" dxfId="48" priority="160">
      <formula>$B220&lt;&gt;""</formula>
    </cfRule>
  </conditionalFormatting>
  <conditionalFormatting sqref="K234">
    <cfRule type="expression" dxfId="47" priority="159">
      <formula>$B234&lt;&gt;""</formula>
    </cfRule>
  </conditionalFormatting>
  <conditionalFormatting sqref="K244">
    <cfRule type="expression" dxfId="46" priority="158">
      <formula>$B244&lt;&gt;""</formula>
    </cfRule>
  </conditionalFormatting>
  <conditionalFormatting sqref="K252">
    <cfRule type="expression" dxfId="45" priority="157">
      <formula>$B252&lt;&gt;""</formula>
    </cfRule>
  </conditionalFormatting>
  <conditionalFormatting sqref="K272">
    <cfRule type="expression" dxfId="44" priority="103">
      <formula>$B272&lt;&gt;""</formula>
    </cfRule>
  </conditionalFormatting>
  <conditionalFormatting sqref="K273:K293 K295:K315 K337:K366">
    <cfRule type="expression" dxfId="43" priority="82">
      <formula>$C273&lt;&gt;""</formula>
    </cfRule>
  </conditionalFormatting>
  <conditionalFormatting sqref="K294">
    <cfRule type="expression" dxfId="42" priority="101">
      <formula>$B294&lt;&gt;""</formula>
    </cfRule>
  </conditionalFormatting>
  <conditionalFormatting sqref="K316">
    <cfRule type="expression" dxfId="41" priority="154">
      <formula>$B316&lt;&gt;""</formula>
    </cfRule>
  </conditionalFormatting>
  <conditionalFormatting sqref="K327">
    <cfRule type="expression" dxfId="40" priority="8">
      <formula>$B327&lt;&gt;""</formula>
    </cfRule>
  </conditionalFormatting>
  <conditionalFormatting sqref="K331">
    <cfRule type="expression" dxfId="39" priority="152">
      <formula>$B331&lt;&gt;""</formula>
    </cfRule>
  </conditionalFormatting>
  <conditionalFormatting sqref="K336">
    <cfRule type="expression" dxfId="38" priority="106">
      <formula>$B336&lt;&gt;""</formula>
    </cfRule>
  </conditionalFormatting>
  <conditionalFormatting sqref="K367">
    <cfRule type="expression" dxfId="37" priority="150">
      <formula>$B367&lt;&gt;""</formula>
    </cfRule>
  </conditionalFormatting>
  <conditionalFormatting sqref="K408">
    <cfRule type="expression" dxfId="36" priority="149">
      <formula>$B408&lt;&gt;""</formula>
    </cfRule>
  </conditionalFormatting>
  <conditionalFormatting sqref="K433">
    <cfRule type="expression" dxfId="35" priority="148">
      <formula>$B433&lt;&gt;""</formula>
    </cfRule>
  </conditionalFormatting>
  <conditionalFormatting sqref="K449">
    <cfRule type="expression" dxfId="34" priority="147">
      <formula>$B449&lt;&gt;""</formula>
    </cfRule>
  </conditionalFormatting>
  <conditionalFormatting sqref="K460">
    <cfRule type="expression" dxfId="33" priority="146">
      <formula>$B460&lt;&gt;""</formula>
    </cfRule>
  </conditionalFormatting>
  <conditionalFormatting sqref="K461:K502">
    <cfRule type="expression" dxfId="32" priority="81">
      <formula>$C461&lt;&gt;""</formula>
    </cfRule>
  </conditionalFormatting>
  <conditionalFormatting sqref="K503">
    <cfRule type="expression" dxfId="31" priority="145">
      <formula>$B503&lt;&gt;""</formula>
    </cfRule>
  </conditionalFormatting>
  <conditionalFormatting sqref="K517">
    <cfRule type="expression" dxfId="30" priority="144">
      <formula>$B517&lt;&gt;""</formula>
    </cfRule>
  </conditionalFormatting>
  <conditionalFormatting sqref="K522">
    <cfRule type="expression" dxfId="29" priority="143">
      <formula>$B522&lt;&gt;""</formula>
    </cfRule>
  </conditionalFormatting>
  <conditionalFormatting sqref="K531">
    <cfRule type="expression" dxfId="28" priority="142">
      <formula>$B531&lt;&gt;""</formula>
    </cfRule>
  </conditionalFormatting>
  <conditionalFormatting sqref="K535">
    <cfRule type="expression" dxfId="27" priority="141">
      <formula>$B535&lt;&gt;""</formula>
    </cfRule>
  </conditionalFormatting>
  <conditionalFormatting sqref="K548">
    <cfRule type="expression" dxfId="26" priority="140">
      <formula>$B548&lt;&gt;""</formula>
    </cfRule>
  </conditionalFormatting>
  <conditionalFormatting sqref="K568">
    <cfRule type="expression" dxfId="25" priority="139">
      <formula>$B568&lt;&gt;""</formula>
    </cfRule>
  </conditionalFormatting>
  <conditionalFormatting sqref="K575">
    <cfRule type="expression" dxfId="24" priority="107">
      <formula>$B575&lt;&gt;""</formula>
    </cfRule>
  </conditionalFormatting>
  <conditionalFormatting sqref="K580">
    <cfRule type="expression" dxfId="23" priority="137">
      <formula>$B580&lt;&gt;""</formula>
    </cfRule>
  </conditionalFormatting>
  <conditionalFormatting sqref="K593">
    <cfRule type="expression" dxfId="22" priority="136">
      <formula>$B593&lt;&gt;""</formula>
    </cfRule>
  </conditionalFormatting>
  <conditionalFormatting sqref="K596">
    <cfRule type="expression" dxfId="21" priority="135">
      <formula>$B596&lt;&gt;""</formula>
    </cfRule>
  </conditionalFormatting>
  <conditionalFormatting sqref="K601">
    <cfRule type="expression" dxfId="20" priority="134">
      <formula>$B601&lt;&gt;""</formula>
    </cfRule>
  </conditionalFormatting>
  <conditionalFormatting sqref="K610">
    <cfRule type="expression" dxfId="19" priority="133">
      <formula>$B610&lt;&gt;""</formula>
    </cfRule>
  </conditionalFormatting>
  <conditionalFormatting sqref="K617">
    <cfRule type="expression" dxfId="18" priority="86">
      <formula>$B617&lt;&gt;""</formula>
    </cfRule>
  </conditionalFormatting>
  <conditionalFormatting sqref="K618:K624">
    <cfRule type="expression" dxfId="17" priority="80">
      <formula>$C618&lt;&gt;""</formula>
    </cfRule>
  </conditionalFormatting>
  <conditionalFormatting sqref="K625">
    <cfRule type="expression" dxfId="16" priority="131">
      <formula>$B625&lt;&gt;""</formula>
    </cfRule>
  </conditionalFormatting>
  <conditionalFormatting sqref="K630">
    <cfRule type="expression" dxfId="15" priority="130">
      <formula>$B630&lt;&gt;""</formula>
    </cfRule>
  </conditionalFormatting>
  <conditionalFormatting sqref="K635">
    <cfRule type="expression" dxfId="14" priority="129">
      <formula>$B635&lt;&gt;""</formula>
    </cfRule>
  </conditionalFormatting>
  <conditionalFormatting sqref="K641">
    <cfRule type="expression" dxfId="13" priority="128">
      <formula>$B641&lt;&gt;""</formula>
    </cfRule>
  </conditionalFormatting>
  <conditionalFormatting sqref="K654">
    <cfRule type="expression" dxfId="12" priority="127">
      <formula>$B654&lt;&gt;""</formula>
    </cfRule>
  </conditionalFormatting>
  <conditionalFormatting sqref="K664">
    <cfRule type="expression" dxfId="11" priority="126">
      <formula>$B664&lt;&gt;""</formula>
    </cfRule>
  </conditionalFormatting>
  <conditionalFormatting sqref="K678">
    <cfRule type="expression" dxfId="10" priority="125">
      <formula>$B678&lt;&gt;""</formula>
    </cfRule>
  </conditionalFormatting>
  <conditionalFormatting sqref="K684">
    <cfRule type="expression" dxfId="9" priority="124">
      <formula>$B684&lt;&gt;""</formula>
    </cfRule>
  </conditionalFormatting>
  <conditionalFormatting sqref="K701">
    <cfRule type="expression" dxfId="8" priority="123">
      <formula>$B701&lt;&gt;""</formula>
    </cfRule>
  </conditionalFormatting>
  <conditionalFormatting sqref="K705">
    <cfRule type="expression" dxfId="7" priority="122">
      <formula>$B705&lt;&gt;""</formula>
    </cfRule>
  </conditionalFormatting>
  <conditionalFormatting sqref="K742">
    <cfRule type="expression" dxfId="6" priority="121">
      <formula>$B742&lt;&gt;""</formula>
    </cfRule>
  </conditionalFormatting>
  <conditionalFormatting sqref="K755">
    <cfRule type="expression" dxfId="5" priority="120">
      <formula>$B755&lt;&gt;""</formula>
    </cfRule>
  </conditionalFormatting>
  <conditionalFormatting sqref="K764">
    <cfRule type="expression" dxfId="4" priority="119">
      <formula>$B764&lt;&gt;""</formula>
    </cfRule>
  </conditionalFormatting>
  <conditionalFormatting sqref="K777">
    <cfRule type="expression" dxfId="3" priority="118">
      <formula>$B777&lt;&gt;""</formula>
    </cfRule>
  </conditionalFormatting>
  <conditionalFormatting sqref="K778:K782 K784:K789 K791:K796">
    <cfRule type="expression" dxfId="2" priority="79">
      <formula>$C778&lt;&gt;""</formula>
    </cfRule>
  </conditionalFormatting>
  <conditionalFormatting sqref="K783">
    <cfRule type="expression" dxfId="1" priority="117">
      <formula>$B783&lt;&gt;""</formula>
    </cfRule>
  </conditionalFormatting>
  <conditionalFormatting sqref="K790">
    <cfRule type="expression" dxfId="0" priority="116">
      <formula>$B790&lt;&gt;""</formula>
    </cfRule>
  </conditionalFormatting>
  <pageMargins left="0.7" right="0.7" top="0.75" bottom="0.75" header="0.3" footer="0.3"/>
  <pageSetup paperSize="9" scale="3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U1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Nadiyani Zahra</dc:creator>
  <cp:keywords/>
  <dc:description/>
  <cp:lastModifiedBy>M. Farhan Tandia</cp:lastModifiedBy>
  <cp:revision/>
  <cp:lastPrinted>2026-08-29T01:41:51Z</cp:lastPrinted>
  <dcterms:created xsi:type="dcterms:W3CDTF">2026-07-20T11:25:21Z</dcterms:created>
  <dcterms:modified xsi:type="dcterms:W3CDTF">2026-08-29T01:47:44Z</dcterms:modified>
  <cp:category/>
  <cp:contentStatus/>
</cp:coreProperties>
</file>