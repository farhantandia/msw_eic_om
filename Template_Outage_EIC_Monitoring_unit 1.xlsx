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w\msw_eic_om\"/>
    </mc:Choice>
  </mc:AlternateContent>
  <xr:revisionPtr revIDLastSave="0" documentId="13_ncr:1_{AC5D0F65-C99C-4F18-A781-EDF043D46B9E}" xr6:coauthVersionLast="47" xr6:coauthVersionMax="47" xr10:uidLastSave="{00000000-0000-0000-0000-000000000000}"/>
  <bookViews>
    <workbookView xWindow="-103" yWindow="-103" windowWidth="24892" windowHeight="13372" tabRatio="500" xr2:uid="{00000000-000D-0000-FFFF-FFFF00000000}"/>
  </bookViews>
  <sheets>
    <sheet name="Dashboard_Summary" sheetId="1" r:id="rId1"/>
    <sheet name="README" sheetId="2" r:id="rId2"/>
    <sheet name="WorkOrder" sheetId="3" r:id="rId3"/>
    <sheet name="WorkOrder_Checklist" sheetId="4" r:id="rId4"/>
    <sheet name="ActuatorValve" sheetId="5" r:id="rId5"/>
    <sheet name="Instrument_PressureTX" sheetId="6" r:id="rId6"/>
    <sheet name="Instrument_TemperatureTX" sheetId="7" r:id="rId7"/>
    <sheet name="Instrument_PressureSwitch" sheetId="8" r:id="rId8"/>
    <sheet name="PIC_Scope_Master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5" i="1"/>
  <c r="C24" i="1"/>
  <c r="C23" i="1"/>
  <c r="E17" i="1"/>
  <c r="D17" i="1" s="1"/>
  <c r="C17" i="1"/>
  <c r="E12" i="1"/>
  <c r="D12" i="1"/>
  <c r="C12" i="1"/>
  <c r="F12" i="1" s="1"/>
  <c r="E7" i="1"/>
  <c r="G7" i="1" s="1"/>
  <c r="D7" i="1"/>
  <c r="C7" i="1"/>
  <c r="F7" i="1" s="1"/>
  <c r="G12" i="1" l="1"/>
</calcChain>
</file>

<file path=xl/sharedStrings.xml><?xml version="1.0" encoding="utf-8"?>
<sst xmlns="http://schemas.openxmlformats.org/spreadsheetml/2006/main" count="4403" uniqueCount="1368">
  <si>
    <t>Kategori</t>
  </si>
  <si>
    <t>Nama_Equipment_Scope</t>
  </si>
  <si>
    <t>Tipe_Scope_Vendor_MSW</t>
  </si>
  <si>
    <t>Scope_Kerja_ME_SI_SE</t>
  </si>
  <si>
    <t>Deskripsi_Aktivitas</t>
  </si>
  <si>
    <t>PIC</t>
  </si>
  <si>
    <t>Unit</t>
  </si>
  <si>
    <t>1. Electric Generator 31,5 MW/11 kV</t>
  </si>
  <si>
    <t>Vendor</t>
  </si>
  <si>
    <t>ME</t>
  </si>
  <si>
    <t>Pengukuran tahanan isolasi, indeks
polarisasi (PI), winding resistance
test, connection check,
pemeriksaan cooler, cek sistem
excitasi, PMG, dan kebersihan
saluran ventilasi, grounding check</t>
  </si>
  <si>
    <t>M ZAINI</t>
  </si>
  <si>
    <t>2. Generator Trafo 40 MVA,11/66 kV</t>
  </si>
  <si>
    <t>Pengujian tahanan isolasi, uji
tegangan tembus, dan
pembersihan bushing,
pengencangan baut, dan pengujian
fungsi proteksi, cek BDV oli trafo,
grounding check</t>
  </si>
  <si>
    <t>3. MV Auxiliary Trafo 10 MVA,11/6.6 kV</t>
  </si>
  <si>
    <t>4. LV Auxiliary Trafo 2.5 MVA,6.6/0.4 kV</t>
  </si>
  <si>
    <t>5. ESP Rectifier Trafo 250 kW,380 VAC/70 kVDC</t>
  </si>
  <si>
    <t>M IQBAL</t>
  </si>
  <si>
    <t>6. Panel MV Switchgear 6.6 kV</t>
  </si>
  <si>
    <t>Uji contact resistance pada CB, uji
timing close-open, dan pelumasan
mekanisme mekanis CB, grounding
check</t>
  </si>
  <si>
    <t>7. Panel LV PMCC 380 V</t>
  </si>
  <si>
    <t>8.Panel MCC 380 V (Boiler,Turbin Generator, ESP,AHP)</t>
  </si>
  <si>
    <t>9. Panel Generator CB</t>
  </si>
  <si>
    <t>10. Generator Control Panel</t>
  </si>
  <si>
    <t>11. Generator Exciter Panel</t>
  </si>
  <si>
    <t>12. Panel Bapcon – Rapcon ESP</t>
  </si>
  <si>
    <t>13. Panel Inverter LV motor</t>
  </si>
  <si>
    <t>14. Panel Soft Starter/FCMA</t>
  </si>
  <si>
    <t>H AIDI</t>
  </si>
  <si>
    <t>15. Relay Proteksi</t>
  </si>
  <si>
    <t>Pengujian injeksi sekunder
(Secondary Injection Test)
untuk memastikan relay trip
sesuai kurva waktu dan nilai
arus settingnya, cek log
kejadian (event recorder)</t>
  </si>
  <si>
    <t>16. LV Motor 380 V</t>
  </si>
  <si>
    <t>SI</t>
  </si>
  <si>
    <t>Pengukuran tahanan isolasi,
indeks polarisasi (PI),
connection check, cek visual
body, fan cover, dan kebersihan
saluran ventilasi</t>
  </si>
  <si>
    <t>YOGA</t>
  </si>
  <si>
    <t>Actuator Valve</t>
  </si>
  <si>
    <t>21. Remote Control Panel (RCP)</t>
  </si>
  <si>
    <t>22. Busduct Trafo</t>
  </si>
  <si>
    <t>Pengujian tahanan isolasi, kontak
resistan bagian konduktor,
grounding check</t>
  </si>
  <si>
    <t>23. Busduct Generator</t>
  </si>
  <si>
    <t>24. MV Motor Cable 6.6 kV</t>
  </si>
  <si>
    <t>25. LV Motor Cable 380 V</t>
  </si>
  <si>
    <t>26. Electrical Grounding</t>
  </si>
  <si>
    <t>Visual Inspection pada
sambungan dan kerusakan,
tightening &amp; cleaning,
pengukuran grounding
resistance dan verifikasi</t>
  </si>
  <si>
    <t>1. Panel DCS</t>
  </si>
  <si>
    <t>Cek kondisi fisik panel
(kebersihan, pintu, kunci, dan
grounding), indikator LED
CPU/I/O/Power Supply, suhu
panel, serta memastikan tidak
ada alarm atau fault aktif di
sistem.</t>
  </si>
  <si>
    <t>JHON</t>
  </si>
  <si>
    <t>2. Pressure tx range -70~1500 mBar</t>
  </si>
  <si>
    <t>Verifikasi Dan Kalibrasi</t>
  </si>
  <si>
    <t>FERRYUS</t>
  </si>
  <si>
    <t>3. Pressure tx range -1~180 Bar</t>
  </si>
  <si>
    <t>4. Flow tx range -500~12500 mmH2O</t>
  </si>
  <si>
    <t>5. Temperature tx range 0 ~ 1200 celcius</t>
  </si>
  <si>
    <t>M TOHER</t>
  </si>
  <si>
    <t>Unit 1 - GCB Panel Cooling Fan Blower rusak Mx</t>
  </si>
  <si>
    <t>MSW</t>
  </si>
  <si>
    <t>Replace</t>
  </si>
  <si>
    <t>PRESSURE SWITCH</t>
  </si>
  <si>
    <t>Verifikasi &amp; Calibrasi</t>
  </si>
  <si>
    <t>ACTUATOR ON OFF VALVE</t>
  </si>
  <si>
    <t>General Inspection</t>
  </si>
  <si>
    <t>IGV CONTROL (SA, SUB)</t>
  </si>
  <si>
    <t>GOVERNOR VALVE</t>
  </si>
  <si>
    <t>ACTUATOR CONTROL VALVE</t>
  </si>
  <si>
    <t>ACTUATOR MOTORIZED VALVE</t>
  </si>
  <si>
    <t>PROTECTION TEST</t>
  </si>
  <si>
    <t>Function test</t>
  </si>
  <si>
    <t>LEVEL SWITCH</t>
  </si>
  <si>
    <t>Verifikasi &amp; Function Test</t>
  </si>
  <si>
    <t>FIRE ALARM SYSTEM</t>
  </si>
  <si>
    <t>Turbine</t>
  </si>
  <si>
    <t>Major Overhoul</t>
  </si>
  <si>
    <t xml:space="preserve">DASHBOARD RINGKASAN PROGRESS OUTAGE EIC — UNIT 1 </t>
  </si>
  <si>
    <t>*Sheet ini berisi FORMULA otomatis — jangan diedit manual. Update data di sheet masing-masing.</t>
  </si>
  <si>
    <t>1. WORK ORDER (WorkOrder)</t>
  </si>
  <si>
    <t>SCHED-OK</t>
  </si>
  <si>
    <t>IN PROGRESS</t>
  </si>
  <si>
    <t>FINISH</t>
  </si>
  <si>
    <t>TOTAL</t>
  </si>
  <si>
    <t>% FINISH</t>
  </si>
  <si>
    <t>2. ACTUATOR VALVE (ActuatorValve)</t>
  </si>
  <si>
    <t>3. FIELD INSTRUMENT CALIBRATION (Pressure TX + Temperature TX + Pressure Switch)</t>
  </si>
  <si>
    <t>SELESAI (WDONE)</t>
  </si>
  <si>
    <t>BELUM SELESAI</t>
  </si>
  <si>
    <t>4. RINGKASAN TEMUAN (FINDINGS)</t>
  </si>
  <si>
    <t>Sumber Data</t>
  </si>
  <si>
    <t>Jumlah Baris dengan Temuan Terisi</t>
  </si>
  <si>
    <t>WorkOrder</t>
  </si>
  <si>
    <t>WorkOrder_Checklist</t>
  </si>
  <si>
    <t>ActuatorValve</t>
  </si>
  <si>
    <t>Instrument_PressureTX</t>
  </si>
  <si>
    <t>Instrument_TemperatureTX</t>
  </si>
  <si>
    <t>Instrument_PressureSwitch</t>
  </si>
  <si>
    <t>TEMPLATE DATA — OUTAGE EIC WORK ORDER MONITORING SYSTEM</t>
  </si>
  <si>
    <t>PLTU MSW — Unit 1 &amp; Unit 2</t>
  </si>
  <si>
    <t>PETUNJUK PENGISIAN:</t>
  </si>
  <si>
    <t>1. File ini adalah SUMBER DATA yang dibaca langsung oleh sistem web Outage EIC Monitoring.</t>
  </si>
  <si>
    <t>2. Sel dengan warna KUNING adalah kolom yang wajib diisi/diupdate manual oleh PIC di lapangan.</t>
  </si>
  <si>
    <t>3. Kolom 'Temuan' dan 'Tindak Lanjut' diisi bila ditemukan kondisi abnormal saat inspeksi.</t>
  </si>
  <si>
    <t>4. Kolom 'Jumlah Foto' TIDAK perlu diisi manual — akan terisi otomatis oleh sistem web saat PIC</t>
  </si>
  <si>
    <t xml:space="preserve">   mengupload foto temuan melalui aplikasi (foto tersimpan di folder Finding/&lt;Nama WO atau Komponen&gt;/).</t>
  </si>
  <si>
    <t>5. Sistem web dapat MEMBACA dan MENULIS langsung ke file ini — jangan mengubah nama kolom (header)</t>
  </si>
  <si>
    <t xml:space="preserve">   atau urutan sheet, karena parser web memetakan data berdasarkan nama header persis seperti ini.</t>
  </si>
  <si>
    <t>6. Baris berwarna HIJAU MUDA pada tiap sheet adalah CONTOH pengisian data — hapus / timpa saat</t>
  </si>
  <si>
    <t xml:space="preserve">   mulai memasukkan data outage yang sebenarnya.</t>
  </si>
  <si>
    <t>7. Kolom 'Unit' diisi angka 1 atau 2 sesuai unit yang dikerjakan.</t>
  </si>
  <si>
    <t>8. Untuk sheet Actuator Valve: daftar equipment (Equipment_ID &amp; Equipment_Description) SAMA untuk</t>
  </si>
  <si>
    <t xml:space="preserve">   Unit 1 dan Unit 2 — buat 2 baris per equipment (satu baris Unit=1, satu baris Unit=2) dengan</t>
  </si>
  <si>
    <t xml:space="preserve">   Equipment_ID yang sama, namun kolom progress/status/temuan diisi terpisah sesuai kondisi tiap unit.</t>
  </si>
  <si>
    <t>DAFTAR SHEET:</t>
  </si>
  <si>
    <t xml:space="preserve"> - WorkOrder                 : daftar Work Order (WO) utama section EIC</t>
  </si>
  <si>
    <t xml:space="preserve"> - WorkOrder_Checklist       : rincian sub-task/checklist per WO</t>
  </si>
  <si>
    <t xml:space="preserve"> - ActuatorValve             : progress actuator &amp; valve (Unit 1 &amp; 2, list sama)</t>
  </si>
  <si>
    <t xml:space="preserve"> - Instrument_PressureTX     : kalibrasi pressure &amp; flow transmitter</t>
  </si>
  <si>
    <t xml:space="preserve"> - Instrument_TemperatureTX  : kalibrasi temperature transmitter</t>
  </si>
  <si>
    <t xml:space="preserve"> - Instrument_PressureSwitch : verifikasi &amp; kalibrasi pressure switch</t>
  </si>
  <si>
    <t xml:space="preserve"> - PIC_Scope_Master          : master pembagian scope kerja &amp; PIC (Vendor / MSW)</t>
  </si>
  <si>
    <t xml:space="preserve"> - Dashboard_Summary         : rekap statistik otomatis (jangan diedit manual, berisi formula)</t>
  </si>
  <si>
    <t>No</t>
  </si>
  <si>
    <t>No_WO</t>
  </si>
  <si>
    <t>Job_Description</t>
  </si>
  <si>
    <t>Area</t>
  </si>
  <si>
    <t>Tanggal_Schedule</t>
  </si>
  <si>
    <t>Tanggal_Actual_Start</t>
  </si>
  <si>
    <t>Tanggal_Finish</t>
  </si>
  <si>
    <t>Status</t>
  </si>
  <si>
    <t>N_Task</t>
  </si>
  <si>
    <t>Persen_Progress</t>
  </si>
  <si>
    <t>Scope</t>
  </si>
  <si>
    <t>Remarks</t>
  </si>
  <si>
    <t>Temuan</t>
  </si>
  <si>
    <t>Tindak_Lanjut</t>
  </si>
  <si>
    <t>Jumlah_Foto</t>
  </si>
  <si>
    <t>WO-100826-0012</t>
  </si>
  <si>
    <t>OM EIC Y1 UNIT COMMON COOLING TOWER FAN 1</t>
  </si>
  <si>
    <t>COOLING TOWER</t>
  </si>
  <si>
    <t>22/08/2026</t>
  </si>
  <si>
    <t>SUPERVISE, QC, OTHER TASK AS PER EIC JP</t>
  </si>
  <si>
    <t>WO-100826-0013</t>
  </si>
  <si>
    <t>OM EIC Y1 UNIT COMMON COOLING TOWER FAN 2</t>
  </si>
  <si>
    <t>WO-100826-0014</t>
  </si>
  <si>
    <t>OM EIC Y1 UNIT COMMON MAIN COOLING WATER PUMP 1</t>
  </si>
  <si>
    <t>COOLING WATER</t>
  </si>
  <si>
    <t>WO-100826-0015</t>
  </si>
  <si>
    <t>OM EIC Y1 UNIT COMMON MAIN COOLING WATER PUMP 2</t>
  </si>
  <si>
    <t>WO-100826-0016</t>
  </si>
  <si>
    <t>OM EIC Y1 UNIT COMMON AUXILIARY COOLING WATER PUMP 1</t>
  </si>
  <si>
    <t>WO-100826-0017</t>
  </si>
  <si>
    <t>OM EIC Y1 UNIT COMMON AUXILIARY COOLING WATER PUMP 2</t>
  </si>
  <si>
    <t>WO-100826-0160</t>
  </si>
  <si>
    <t>OM EIC Y1 UNIT 1 INDUCED DRAUGHT FAN 1</t>
  </si>
  <si>
    <t>BOILER</t>
  </si>
  <si>
    <t>WO-100826-0161</t>
  </si>
  <si>
    <t>OM EIC Y1 UNIT 1 INDUCED DRAUGHT FAN 2</t>
  </si>
  <si>
    <t>WO-100826-0020</t>
  </si>
  <si>
    <t>OM EIC Y1 UNIT 1 PRIMARY AIR FAN 1</t>
  </si>
  <si>
    <t>WO-100826-0021</t>
  </si>
  <si>
    <t>OM EIC Y1 UNIT 1 PRIMARY AIR FAN 1 LUBE OIL SYSTEM</t>
  </si>
  <si>
    <t>WO-100826-0022</t>
  </si>
  <si>
    <t>OM EIC Y1 UNIT 1 PRIMARY AIR FAN 2</t>
  </si>
  <si>
    <t>WO-100826-0023</t>
  </si>
  <si>
    <t>OM EIC Y1 UNIT 1 PRIMARY AIR FAN 2 LUBE OIL SYSTEM</t>
  </si>
  <si>
    <t>WO-100826-0024</t>
  </si>
  <si>
    <t>OM EIC Y1 UNIT 1 SECONDARY AIR FAN 1</t>
  </si>
  <si>
    <t>WO-100826-0025</t>
  </si>
  <si>
    <t>OM EIC Y1 UNIT 1 SECONDARY AIR FAN 1 LUBE OIL SYSTEM</t>
  </si>
  <si>
    <t>WO-100826-0026</t>
  </si>
  <si>
    <t>OM EIC Y1 UNIT 1 SECONDARY AIR FAN 2</t>
  </si>
  <si>
    <t>WO-100826-0027</t>
  </si>
  <si>
    <t>OM EIC Y1 UNIT 1 SECONDARY AIR FAN 2 LUBE OIL SYSTEM</t>
  </si>
  <si>
    <t>WO-100826-0028</t>
  </si>
  <si>
    <t>OM EIC Y1 UNIT 1 COAL FEEDER NO 1</t>
  </si>
  <si>
    <t>COAL HANDLING</t>
  </si>
  <si>
    <t>WO-100826-0029</t>
  </si>
  <si>
    <t>OM EIC Y1 UNIT 1 COAL FEEDER NO 2</t>
  </si>
  <si>
    <t>WO-100826-0030</t>
  </si>
  <si>
    <t>OM EIC Y1 UNIT 1 LDO START-UP BURNER 1</t>
  </si>
  <si>
    <t>WO-100826-0031</t>
  </si>
  <si>
    <t>OM EIC Y1 UNIT 1 LDO START-UP BURNER 2</t>
  </si>
  <si>
    <t>WO-100826-0032</t>
  </si>
  <si>
    <t>OM EIC Y1 UNIT 1 SEALPOT BLOWER NO 1</t>
  </si>
  <si>
    <t>WO-100826-0033</t>
  </si>
  <si>
    <t>OM EIC Y1 UNIT 1 SEALPOT BLOWER NO 2</t>
  </si>
  <si>
    <t>WO-100826-0034</t>
  </si>
  <si>
    <t>OM EIC Y1 UNIT 1 ELECTROSTATIC PRECIPITATOR 1-6</t>
  </si>
  <si>
    <t>ESP</t>
  </si>
  <si>
    <t>WO-100826-0035</t>
  </si>
  <si>
    <t>OM EIC Y1 UNIT 1 BOILER FEED PUMP 1</t>
  </si>
  <si>
    <t>TURBINE</t>
  </si>
  <si>
    <t>WO-100826-0036</t>
  </si>
  <si>
    <t>OM EIC Y1 UNIT 1 BOILER FEED PUMP 2</t>
  </si>
  <si>
    <t>WO-100826-0037</t>
  </si>
  <si>
    <t>OM EIC Y1 UNIT 1 FEED WATER LINE</t>
  </si>
  <si>
    <t>FEED WATER</t>
  </si>
  <si>
    <t>WO-100826-0038</t>
  </si>
  <si>
    <t>OM EIC Y1 UNIT 1 DESH SUPERHEATER LINE 1</t>
  </si>
  <si>
    <t>WO-100826-0039</t>
  </si>
  <si>
    <t>OM EIC Y1 UNIT 1 DESH SUPERHEATER LINE 2</t>
  </si>
  <si>
    <t>WO-100826-0040</t>
  </si>
  <si>
    <t>OM EIC Y1 UNIT 1 GENERATOR CIRCUIT BREAKER</t>
  </si>
  <si>
    <t>ELECTRICAL</t>
  </si>
  <si>
    <t>WO-100826-0041</t>
  </si>
  <si>
    <t>OM EIC Y1 UNIT 1 GENERATOR</t>
  </si>
  <si>
    <t>WO-100826-0042</t>
  </si>
  <si>
    <t>OM EIC Y1 UNIT 1 AUXILIARY TRANSFORMER 2</t>
  </si>
  <si>
    <t>WO-100826-0043</t>
  </si>
  <si>
    <t>OM EIC Y1 UNIT 1 6.6KV MEDIUM VOLTAGE STATION BOARDS PANEL</t>
  </si>
  <si>
    <t>WO-100826-0044</t>
  </si>
  <si>
    <t>OM EIC Y1 UNIT 1 MEDIUM VOLTAGE STATION BOARDS COMMON</t>
  </si>
  <si>
    <t>WO-100826-0045</t>
  </si>
  <si>
    <t>OM EIC Y1 UNIT 1 MAIN TURBINE</t>
  </si>
  <si>
    <t>WO-100826-0046</t>
  </si>
  <si>
    <t>OM EIC 1Y FIRE ALARM LOCAL PANEL ( UNIT 1 )</t>
  </si>
  <si>
    <t>FIRE PROTECTION</t>
  </si>
  <si>
    <t>WO-100826-0047</t>
  </si>
  <si>
    <t>OM EIC 1Y UNIT 1 PRIMARY AIR FAN LINE</t>
  </si>
  <si>
    <t>WO-100826-0048</t>
  </si>
  <si>
    <t>OM EIC 1Y UNIT 1 SECONDARY AIR FAN LINE</t>
  </si>
  <si>
    <t>WO-100826-0049</t>
  </si>
  <si>
    <t>OM EIC Y1 UNIT 1 BOILER DISTRIBUTED CONTROL PANEL</t>
  </si>
  <si>
    <t>DCS</t>
  </si>
  <si>
    <t>WO-100826-0050</t>
  </si>
  <si>
    <t>OM EIC Y1 UNIT 1 BOILER DRUM</t>
  </si>
  <si>
    <t>WO-100826-0051</t>
  </si>
  <si>
    <t>OM EIC Y1 UNIT 1 COMBUSTOR</t>
  </si>
  <si>
    <t>WO-100826-0052</t>
  </si>
  <si>
    <t>OM EIC Y1 UNIT 1 CYCLONE</t>
  </si>
  <si>
    <t>WO-100826-0053</t>
  </si>
  <si>
    <t>OM EIC Y1 UNIT 1 SEALPOT</t>
  </si>
  <si>
    <t>WO-100826-0054</t>
  </si>
  <si>
    <t>OM EIC Y1 UNIT 1 SUPERHEATER SYSTEM LINE</t>
  </si>
  <si>
    <t>WO-100826-0055</t>
  </si>
  <si>
    <t>OM EIC Y1 UNIT 1 JACKING OIL PUMP</t>
  </si>
  <si>
    <t>WO-100826-0056</t>
  </si>
  <si>
    <t>OM EIC Y1 UNIT 1 MAIN OIL PUMP</t>
  </si>
  <si>
    <t>WO-100826-0057</t>
  </si>
  <si>
    <t>OM EIC Y1 UNIT 1 TURBINE CONTROL VALVE</t>
  </si>
  <si>
    <t>WO-100826-0058</t>
  </si>
  <si>
    <t>OM EIC Y1 UNIT 1 HP BYPASS VALVE</t>
  </si>
  <si>
    <t>WO-100826-0059</t>
  </si>
  <si>
    <t>OM EIC Y1 UNIT 1 TURBINE DRAINAGE MAIN HEADER LINE TO EXPANSION TUBE</t>
  </si>
  <si>
    <t>WO-100826-0060</t>
  </si>
  <si>
    <t>OM EIC Y1 UNIT 1 VACUUM PUMP A</t>
  </si>
  <si>
    <t>WO-100826-0061</t>
  </si>
  <si>
    <t>OM EIC Y1 UNIT 1 VACUUM PUMP B</t>
  </si>
  <si>
    <t>WO-100826-0062</t>
  </si>
  <si>
    <t>OM EIC Y1 UNIT 1 CONDENSER</t>
  </si>
  <si>
    <t>WO-100826-0063</t>
  </si>
  <si>
    <t>OM EIC Y1 UNIT 1 MAIN CONDENSATE PUMP A</t>
  </si>
  <si>
    <t>WO-100826-0064</t>
  </si>
  <si>
    <t>OM EIC Y1 UNIT 1 MAIN CONDENSATE PUMP B</t>
  </si>
  <si>
    <t>WO-100826-0065</t>
  </si>
  <si>
    <t>OM EIC Y1 UNIT 1 GENERATOR CONTROL PANEL</t>
  </si>
  <si>
    <t>WO-100826-0066</t>
  </si>
  <si>
    <t>OM EIC Y1 UNIT 1 GENERATOR EXCITATION PANEL</t>
  </si>
  <si>
    <t>WO-100826-0067</t>
  </si>
  <si>
    <t>OM EIC Y1 UNIT 1 SOOT BLOWER</t>
  </si>
  <si>
    <t>WO-100826-0068</t>
  </si>
  <si>
    <t>OM EIC Y1 UNIT 1 TURBINE CONTROL PANEL</t>
  </si>
  <si>
    <t>WO-100826-0069</t>
  </si>
  <si>
    <t>OM EIC Y1 UNIT 1 LV DISTRIBUTION</t>
  </si>
  <si>
    <t>WO-100826-0070</t>
  </si>
  <si>
    <t>OM EIC Y1 UNIT 1 380V MCC SWICTHGEAR BOILER</t>
  </si>
  <si>
    <t>WO-100826-0071</t>
  </si>
  <si>
    <t>OM EIC Y1 UNIT 1 380V MCC SWICTHGEAR TG</t>
  </si>
  <si>
    <t>WO-100826-0072</t>
  </si>
  <si>
    <t>OM EIC Y1 UNIT 1 380V MCC SWICTHGEAR ESP</t>
  </si>
  <si>
    <t>WO-100826-0073</t>
  </si>
  <si>
    <t>OM Y1 EIC UNIT 1 GLAND STEAM SEALING CONDENSER</t>
  </si>
  <si>
    <t>WO-100826-0074</t>
  </si>
  <si>
    <t>OM Y1 EIC UNIT 1 CONVECTIVE PASS</t>
  </si>
  <si>
    <t>WO-100826-0075</t>
  </si>
  <si>
    <t>OM Y1 EIC UNIT 1 FLY ASH HANDLING</t>
  </si>
  <si>
    <t>ASH HANDLING</t>
  </si>
  <si>
    <t>Sub_Task_Description</t>
  </si>
  <si>
    <t>Tanggal</t>
  </si>
  <si>
    <t>PIC_Task</t>
  </si>
  <si>
    <t>Selesai_TRUE_FALSE</t>
  </si>
  <si>
    <t>INSPECTION FRAME MOTOR</t>
  </si>
  <si>
    <t>REGREASING (JIKA DILENGKAPI NIPPLE GREASE)</t>
  </si>
  <si>
    <t>INSPECTION BEARING DAN REPLACEMENT (JIKA DIPERLUKAN)</t>
  </si>
  <si>
    <t>INSPECTION TAHANAN ISOLASI</t>
  </si>
  <si>
    <t>INSPECTION TAHANAN WINDING</t>
  </si>
  <si>
    <t>INSPECTION COOLING FAN</t>
  </si>
  <si>
    <t>INSPECTION TERMINASI</t>
  </si>
  <si>
    <t>INSPECTION KONEKSI GROUNDING SYSTEM</t>
  </si>
  <si>
    <t>SOLO RUN</t>
  </si>
  <si>
    <t>INSPECTION AND CALIBRATION MEASUREMENT DEVICE</t>
  </si>
  <si>
    <t>INSPECTION BEARING &amp; REPLACEMENT</t>
  </si>
  <si>
    <t>UNIT 1 INDUCED DRAUGHT FAN 1 INLET GATE ACTUATOR MOV 20HNA61AA001</t>
  </si>
  <si>
    <t>AMP</t>
  </si>
  <si>
    <t>UNIT 1 INDUCED DRAUGHT FAN 1 OUTLET GATE ACTUATOR MOV 20HNA71AA001</t>
  </si>
  <si>
    <t>MSW20HNC10-M103:UNIT 1 INDUCED DRAUGHT FAN 1 MOTOR</t>
  </si>
  <si>
    <t>JAPA</t>
  </si>
  <si>
    <t>REPOSISI MOTOR</t>
  </si>
  <si>
    <t>DISSASEMBLY COVER FAN DAN COVER BEARING SISI DE DAN NDE</t>
  </si>
  <si>
    <t>INSPEKSI DAN CLEANING BALL BEARING DE DAN NDE (REPLACE BEARING IF NEEDED)</t>
  </si>
  <si>
    <t>REGREASING BEARING DAN PENGUKURAN TAHANAN ISOLASI</t>
  </si>
  <si>
    <t>PENGUKURAN TAHANAN BELITAN</t>
  </si>
  <si>
    <t>ASSEMBLY ALL PART AND REPOSISI MOTOR</t>
  </si>
  <si>
    <t>UNIT 1 INDUCED DRAUGHT FAN 1 IGV 10HNC01EX001</t>
  </si>
  <si>
    <t>INLET ID FAN 1 PRESSURE TRANSMITTER 10HNA61CP001</t>
  </si>
  <si>
    <t>INLET PRESSURE ESP PRESSURE TRANSMITTER 10HNA41CP001</t>
  </si>
  <si>
    <t>OUTLET PRESSURE ESP PRESSURE TRANSMITTER 10HNA41CP002</t>
  </si>
  <si>
    <t>UNIT 1 INDUCED DRAUGHT FAN 2 INLET ACTUATOR MOV 20HNA62AA001</t>
  </si>
  <si>
    <t>UNIT 1 INDUCED DRAUGHT FAN 2 OUTLET ACTUATOR MOV 20HNA72AA001</t>
  </si>
  <si>
    <t>MSW20HNC10-M203:UNIT 1 INDUCED DRAUGHT FAN 2 MOTOR</t>
  </si>
  <si>
    <t>UNIT 1 INDUCED DRAUGHT FAN 2 IGV 10HNC01EX002</t>
  </si>
  <si>
    <t>INLET ID FAN 2 PRESSURE TRANSMITTER 10HNA62CP001</t>
  </si>
  <si>
    <t>INSPEKSI DAN CLEANING BALL BEARING DE DAN NDE</t>
  </si>
  <si>
    <t>REPLACE BEARING IF NEEDED</t>
  </si>
  <si>
    <t>UNIT 1 PRIMARY AIR FAN 1 IGV</t>
  </si>
  <si>
    <t>UNIT 1 PRIMARY AIR FAN 1 OUTLET MOV</t>
  </si>
  <si>
    <t>PA FAN 1 OUTLET PRESSURE TRANSMITTER 10HLB03CP001</t>
  </si>
  <si>
    <t>MSW20HLN20-M101:UNIT 1 PRIMARY AIR FAN 1 LUBE OIL PUMP 1 MOTOR (STAND BY)</t>
  </si>
  <si>
    <t>MSW20HLN20-M102:UNIT 1 PRIMARY AIR FAN 1 LUBE OIL PUMP 2 MOTOR (MAIN)</t>
  </si>
  <si>
    <t>20HLB01CP104: LO HEADER PRESSURE LOW ALARM FOR PA FAN-1</t>
  </si>
  <si>
    <t>20HLB01CP103: PRESSURE SWITCH TO START PERMISSIVE FOR PA FAN-1 START</t>
  </si>
  <si>
    <t>20HLB01CP102: PRESSURE SWITCH TO START LO PA FAN-1 STANDBY PUMP</t>
  </si>
  <si>
    <t>20HLB01CP101: DP SWITCH ACROSS LO TANK FOR PA FAN-1</t>
  </si>
  <si>
    <t>UNIT 1 PRIMARY AIR FAN 2 IGV</t>
  </si>
  <si>
    <t>MSW20HLB20AA202:UNIT 1 PRIMARY AIR FAN 2 OUTLET MOV</t>
  </si>
  <si>
    <t>PA FAN 2 OUTLET PRESSURE TRANSMITTER 10HLB04CP001</t>
  </si>
  <si>
    <t>MSW20HLN20-M201:UNIT 1 PRIMARY AIR FAN 2 LUBE OIL PUMP 1 MOTOR (STAND BY)</t>
  </si>
  <si>
    <t>MSW20HLN20-M202:UNIT 1 PRIMARY AIR FAN 2 LUBE OIL PUMP 2 MOTOR (MAIN)</t>
  </si>
  <si>
    <t>20HLB02CP104: LO HEADER PRESSURE LOW ALARM FOR PA FAN-2</t>
  </si>
  <si>
    <t>20HLB02CP103: PRESSURE SWITCH TO START PERMISSIVE FOR PA FAN-2 START</t>
  </si>
  <si>
    <t>20HLB02CP102: PRESSURE SWITCH TO START LO PA FAN-2 STANDBY PUMP</t>
  </si>
  <si>
    <t>MSW20HLN20CL201:UNIT 1 PRIMARY AIR FAN 2 LUBE OIL TANK LEVEL SWITCH</t>
  </si>
  <si>
    <t>UNIT 1 SECONDARY AIR FAN 1 OUTLET MOV</t>
  </si>
  <si>
    <t>SA FAN 1 OUTLET PRESSURE TRANSMITTER 10HLB01CP001</t>
  </si>
  <si>
    <t>UNIT 1 SECONDARY AIR FAN 1 IGV SA FAN 1 20HLB01EX001</t>
  </si>
  <si>
    <t>MSW20HLN10-M101:UNIT 1 SECONDARY AIR FAN 1 LUBE OIL PUMP 1 MOTOR (STAND BY)</t>
  </si>
  <si>
    <t>MSW20HLN10-M102:UNIT 1 SECONDARY AIR FAN 1 LUBE OIL PUMP 2 MOTOR (MAIN)</t>
  </si>
  <si>
    <t>20HLB02CP101: DP SWITCH ACROSS LO TANK FOR SA FAN-1</t>
  </si>
  <si>
    <t>20HLB05CP104: LO HEADER PRESSURE LOW ALARM FOR SA FAN-1</t>
  </si>
  <si>
    <t>20HLB05CP103: PRESSURE SWITCH TO START PERMISSIVE FOR SA FAN-1 START</t>
  </si>
  <si>
    <t>20HLB05CP102: PRESSURE SWITCH TO START LO SA FAN-1 STANDBY PUMP</t>
  </si>
  <si>
    <t>20HLB05CP101: DP SWITCH ACROSS LO TANK FOR SA FAN-1</t>
  </si>
  <si>
    <t>UNIT 1 SECONDARY AIR FAN 2 OUTLET MOV</t>
  </si>
  <si>
    <t>UNIT 1 IGV SA FAN 2 10HLB01EX001</t>
  </si>
  <si>
    <t>SA FAN 2 OUTLET PRESSURE TRANSMITTER 10HLB02CP001</t>
  </si>
  <si>
    <t>MSW20HLN10-M201:UNIT 1 SECONDARY AIR FAN 2 LUBE OIL PUMP 1 MOTOR (STAND BY)</t>
  </si>
  <si>
    <t>MSW20HLN10-M202:UNIT 1 SECONDARY AIR FAN 2 LUBE OIL PUMP 2 MOTOR (MAIN)</t>
  </si>
  <si>
    <t>20HLB06CP104: LO HEADER PRESSURE LOW ALARM FOR SA FAN-2</t>
  </si>
  <si>
    <t>20HLB06CP103: PRESSURE SWITCH TO START PERMISSIVE FOR SA FAN-2 START</t>
  </si>
  <si>
    <t>20HLB06CP102: PRESSURE SWITCH TO START LO SA FAN-2 STANDBY PUMP</t>
  </si>
  <si>
    <t>20HLB06CP101: DP SWITCH ACROSS LO TANK FOR SA FAN-2</t>
  </si>
  <si>
    <t>INSPECTION FRAME MOTOR DRAG CHAIN</t>
  </si>
  <si>
    <t>INSPECTION FRAME MOTOR ROTARY AIR LOCK</t>
  </si>
  <si>
    <t>INSPECTION OF MFT ACTUATOR 10HHE11AA01</t>
  </si>
  <si>
    <t>INSPECTION OF MFT ACTUATOR 10HHE12AA01</t>
  </si>
  <si>
    <t>INSPECTION OF IGNITER GUN</t>
  </si>
  <si>
    <t>INSPECTION OF START UP BURNER SKID DEVICE</t>
  </si>
  <si>
    <t>LDO PRESSURE BEFORE MTV SWITCH 10HJF11CP301</t>
  </si>
  <si>
    <t>ATOM AIR INLET PRESSURE LOW SWITCH 10HJN11CP301</t>
  </si>
  <si>
    <t>LDO PRESSURE LOW TRIP FOR SUB 1 SWITCH 10HJF11CP302</t>
  </si>
  <si>
    <t>ATOM AIR PRESSURE LOW TRIP FOR SUB 1 SWITCH 10HJN11CP302</t>
  </si>
  <si>
    <t>LDO PRESSURE HIGH TRIP FOR SUB 1 SWITCH 10HJF11CP303</t>
  </si>
  <si>
    <t>SCANNER AIR PRESSURE OK 1 SWITCH 10HJG69CP301</t>
  </si>
  <si>
    <t>SCANNER AIR PRESSURE OK 2 SWITCH 10HJG69CP302</t>
  </si>
  <si>
    <t>ACTUATOR SKID BURNER MAIN LDO LINE CONTROL VALVE</t>
  </si>
  <si>
    <t>ACTUATOR SKID BURNER 1 LDO LINE CONTROL VALVE</t>
  </si>
  <si>
    <t>ACTUATOR SKID BURNER 1 ATOMISING AIR LINE CONTROL VALVE</t>
  </si>
  <si>
    <t>ACTUATOR SUB BURNER 1 VALVE 10HJN11AA003</t>
  </si>
  <si>
    <t>ACTUATOR SKID BURNER 1 ATOM AIR ISOLATION VALVE</t>
  </si>
  <si>
    <t>ACTUATOR SKID BURNER 1 LDO ISOLATION VALVE</t>
  </si>
  <si>
    <t>ACTUATOR SKID BURNER 1 SCAVENGING VALVE</t>
  </si>
  <si>
    <t>ATOM AIR PRESSURE AFTER SUB 1 TRANSMITTER 10HJN11CP001</t>
  </si>
  <si>
    <t>LDO PRESS AFTER SUB1 FVC TRANSMITTER 10HJF11CP001</t>
  </si>
  <si>
    <t>LDO PRESSURE LOW TRIP FOR SUB 2 SWITCH 10HJF12CP302</t>
  </si>
  <si>
    <t>ATOM AIR PRESSURE LOW TRIP FOR SUB 2 SWITCH 10HJN12CP302</t>
  </si>
  <si>
    <t>LDO PRESSURE HIGH TRIP FOR SUB 2 SWITCH 10HJF12CP303</t>
  </si>
  <si>
    <t>ATOM AIR PRESSURE AFTER SUB 2 TRANSMITTER 10HJN12CP001</t>
  </si>
  <si>
    <t>LDO PRESS AFTER SUB2 FCV TRANSMITTER 10HJF12CP001</t>
  </si>
  <si>
    <t>29/8/2026</t>
  </si>
  <si>
    <t>ACTUATOR SKID BURNER 2 LDO LINE CONTROL VALVE</t>
  </si>
  <si>
    <t>ACTUATOR SKID BURNER 2 ATOMISING AIR LINE CONTROL VALVE</t>
  </si>
  <si>
    <t>ACTUATOR SKID BURNER 2 ATOM AIR ISOLATION VALVE</t>
  </si>
  <si>
    <t>ACTUATOR SKID BURNER 2 LDO ISOLATION VALVE</t>
  </si>
  <si>
    <t>ACTUATOR SKID BURNER 2 SCAVENGING VALVE</t>
  </si>
  <si>
    <t>ACTUATOR SUB BURNER 2 VALVE 10HJN12AA003</t>
  </si>
  <si>
    <t>PENGGANTIAN BEARING (JIKA DIPERLUKAN)</t>
  </si>
  <si>
    <t>SEALPOT BLOWER PRESS OUTLET TRANSMITTER 10HLB41CP001</t>
  </si>
  <si>
    <t>P&amp;S BLOWER PRESS OUTLET TRANSMITTER 10QEB20CP001</t>
  </si>
  <si>
    <t>PENGGANTIAN BEARING</t>
  </si>
  <si>
    <t>MSW20HDE10-M101:UNIT 1 ESP RAPPING MOTOR (GDRM)</t>
  </si>
  <si>
    <t>MSW20HDE10-M102:UNIT 1 ESP RAPPING MOTOR (CERM-1)</t>
  </si>
  <si>
    <t>MSW20HDE10-M103:UNIT 1 ESP RAPPING MOTOR (CERM-2)</t>
  </si>
  <si>
    <t>MSW20HDE10-M104:UNIT 1 ESP RAPPING MOTOR (CERM-3)</t>
  </si>
  <si>
    <t>MSW20HDE10-M105:UNIT 1 ESP RAPPING MOTOR (CERM-4)</t>
  </si>
  <si>
    <t>MSW20HDE10-M106:UNIT 1 ESP RAPPING MOTOR (CERM-5)</t>
  </si>
  <si>
    <t>MSW20HDE10-M107:UNIT 1 ESP RAPPING MOTOR (CERM-6)</t>
  </si>
  <si>
    <t>MSW20HDE10-M108:UNIT 1 ESP RAPPING MOTOR (EERM-1)</t>
  </si>
  <si>
    <t>MSW20HDE10-M109:UNIT 1 ESP RAPPING MOTOR (EERM-2)</t>
  </si>
  <si>
    <t>MSW20HDE10-M110:UNIT 1 ESP RAPPING MOTOR (EERM-3)</t>
  </si>
  <si>
    <t>MSW20HDE10-M120:UNIT 1 ESP RAPPING MOTOR (EERM-4)</t>
  </si>
  <si>
    <t>MSW20HDE10-M130:UNIT 1 ESP RAPPING MOTOR (EERM-5)</t>
  </si>
  <si>
    <t>MSW20HDE10-M140:UNIT 1 ESP RAPPING MOTOR (EERM-6)</t>
  </si>
  <si>
    <t>UNIT 1 ESP TRAFO 1 (GENERAL CLEANING, INSPEKSI, IR TEST)</t>
  </si>
  <si>
    <t>UNIT 1 ESP TRAFO 2 (GENERAL CLEANING, INSPEKSI, IR TEST)</t>
  </si>
  <si>
    <t>UNIT 1 ESP TRAFO 3 (GENERAL CLEANING, INSPEKSI, IR TEST)</t>
  </si>
  <si>
    <t>UNIT 1 ESP TRAFO 4 (GENERAL CLEANING, INSPEKSI, IR TEST)</t>
  </si>
  <si>
    <t>UNIT 1 ESP TRAFO 5 (GENERAL CLEANING, INSPEKSI, IR TEST)</t>
  </si>
  <si>
    <t>UNIT 1 ESP TRAFO 6 (GENERAL CLEANING, INSPEKSI, IR TEST)</t>
  </si>
  <si>
    <t>MSW20LAC10-M101:MOV DISCHARGE BFP-1</t>
  </si>
  <si>
    <t>MSW20LAC10AA104:UNIT 1 BOILER FEED PUMP 1 VALVE FOR PRESSURE DIFFERENTIAL SWITCH</t>
  </si>
  <si>
    <t>MSW20LAC10AA105:UNIT 1 BOILER FEED PUMP 1 VALVE FOR PRESSURE DIFFERENTIAL SWITCH</t>
  </si>
  <si>
    <t>MSW20LAC10CG101:UNIT 1 BOILER FEED PUMP 1 LIMIT SWITCH</t>
  </si>
  <si>
    <t>20LAC10CP101:UNIT 1 BOILER FEED PUMP 1 PRESSURE DIFFERENTIAL SWITCH</t>
  </si>
  <si>
    <t>MSW20LAC10CT101:UNIT 1 BOILER FEED PUMP 1 R PHASE WDG TEMPERATURE</t>
  </si>
  <si>
    <t>MSW20LAC10CT102:UNIT 1 BOILER FEED PUMP 1 B PHASE WDG TEMPERATURE</t>
  </si>
  <si>
    <t>MSW20LAC10CT103:UNIT 1 BOILER FEED PUMP 1 B PHASE WDG TEMPERATURE</t>
  </si>
  <si>
    <t>MSW20LAC10CT104:UNIT 1 BOILER FEED PUMP 1 B NDE MOTOR BEARING TEMPERATURE</t>
  </si>
  <si>
    <t>MSW20LAC10CT105:UNIT 1 BOILER FEED PUMP 1 B NDE MOTOR BEARING TEMPERATURE</t>
  </si>
  <si>
    <t>MSW20LAC10CT106:UNIT 1 BOILER FEED PUMP 1 B NDE PUMP BEARING TEMPERATURE</t>
  </si>
  <si>
    <t>MSW20LAC10CT107:UNIT 1 BOILER FEED PUMP 1 B NDE PUMP BEARING TEMPERATURE</t>
  </si>
  <si>
    <t>MSW20LAC10GH101:UNIT 1 BOILER FEED PUMP 1 FCMA PANEL</t>
  </si>
  <si>
    <t>MSW20LAC10-M201:MOV DISCHARGE BFP-2</t>
  </si>
  <si>
    <t>MSW20LAC10AA204:UNIT 1 BOILER FEED PUMP 2 VALVE FOR PRESSURE DIFFERENTIAL SWITCH</t>
  </si>
  <si>
    <t>MSW20LAC10AA205:UNIT 1 BOILER FEED PUMP 2 VALVE FOR PRESSURE DIFFERENTIAL SWITCH</t>
  </si>
  <si>
    <t>MSW20LAC10CG201:UNIT 1 BOILER FEED PUMP 2 LIMIT SWITCH</t>
  </si>
  <si>
    <t>MSW20LAC10CP201:UNIT 1 BOILER FEED PUMP 2 PRESSURE DIFFERENTIAL SWITCH</t>
  </si>
  <si>
    <t>MSW20LAC10CT201:UNIT 1 BOILER FEED PUMP 2 R PHASE WDG TEMPERATURE</t>
  </si>
  <si>
    <t>MSW20LAC10CT202:UNIT 1 BOILER FEED PUMP 2 B PHASE WDG TEMPERATURE</t>
  </si>
  <si>
    <t>MSW20LAC10CT203:UNIT 1 BOILER FEED PUMP 2 B PHASE WDG TEMPERATURE</t>
  </si>
  <si>
    <t>MSW20LAC10CT204:UNIT 1 BOILER FEED PUMP 2 B NDE MOTOR BEARING TEMPERATURE</t>
  </si>
  <si>
    <t>MSW20LAC10CT205:UNIT 1 BOILER FEED PUMP 2 B NDE MOTOR BEARING TEMPERATURE</t>
  </si>
  <si>
    <t>MSW20LAC10CT206:UNIT 1 BOILER FEED PUMP 2 B NDE PUMP BEARING TEMPERATURE</t>
  </si>
  <si>
    <t>MSW20LAC10CT207:UNIT 1 BOILER FEED PUMP 2 B NDE PUMP BEARING TEMPERATURE</t>
  </si>
  <si>
    <t>MSW20LAC10GH201:UNIT 1 BOILER FEED PUMP 2 FCMA PANEL</t>
  </si>
  <si>
    <t>UNIT 1 FEED WATER INLET ECONOMIZER MOTORIZED VALVE MOTOR 100% 10LAB30AA220</t>
  </si>
  <si>
    <t>UNIT 1 FEED WATER INLET ECONOMIZER MOTORIZED VALVE ISOLATION VALVE</t>
  </si>
  <si>
    <t>UNIT 1 FEED WATER INLET ECONOMIZER MOTORIZED VALVE MOTOR 30% 10LAB30AA210</t>
  </si>
  <si>
    <t>ACTUATOR BFP SPRAY LINE (FEED WATER) TO DEAERATOR PRDS I/L CV 10LAE10AA210</t>
  </si>
  <si>
    <t>BFP SPRAY LINE (FEED WATER) TO DEAERATOR PRDS I/L MOV 10LAE10AA110</t>
  </si>
  <si>
    <t>DISTRIBUTOR LINE TO FEEDWATER TRANSMITTER 10LAB30CP001</t>
  </si>
  <si>
    <t>INLET FEEDWATER PRESSURE TRANSMITTER 10HAC90CP001</t>
  </si>
  <si>
    <t>INLET FEEDWATER FLOW TRANSMITTER 10HAC90CF001</t>
  </si>
  <si>
    <t>INLET FEEDWATER FLOW TRANSMITTER 10HAC90CF002</t>
  </si>
  <si>
    <t>CALIBRATION/FUNCTION TEST SPRAY CONTROL VALVE 10LAE10EX001</t>
  </si>
  <si>
    <t>CALIBRATION/FUNCTION ISOLATION (ON/OFF) VALVE</t>
  </si>
  <si>
    <t>DESH 1 SPRAY WATER FLOW TRANSMITTER 10LAE20CF001</t>
  </si>
  <si>
    <t>DESH 2 SPRAY WATER FLOW TRANSMITTER 10LAE30CF001</t>
  </si>
  <si>
    <t>CALIBRATION/FUNCTION TEST SPRAY CONTROL VALVE 10LAE12EX001</t>
  </si>
  <si>
    <t>BEFORE DESH 2 TEMP TRANSMITTER CALIBRATION (20HAH46CT001, 10HAH36CT009, 10HAH36CT009)</t>
  </si>
  <si>
    <t>INSPECTION MEKANIK PENGGERAK</t>
  </si>
  <si>
    <t>INSPECTION MOTOR CHARGING</t>
  </si>
  <si>
    <t>INSPECTION BEARING DRIVE RACK OUT/IN</t>
  </si>
  <si>
    <t>REGREASING SOCKET MAIN KONTAK</t>
  </si>
  <si>
    <t>INSPECTION SYSTEM KONTROL</t>
  </si>
  <si>
    <t>TEST TAHANAN KONTAK</t>
  </si>
  <si>
    <t>TEST KESEREMPAKAN</t>
  </si>
  <si>
    <t>INSPECTION TAHANAN ISOLASI KONTAK</t>
  </si>
  <si>
    <t>INSPECTION TAHANAN ISOLASI BUS BAR</t>
  </si>
  <si>
    <t>FUNCTION TEST</t>
  </si>
  <si>
    <t>PENGUKURAN TAHANAN MOTOR CHARGING, CLOSING DAN TRIPPING COIL</t>
  </si>
  <si>
    <t>INSPECTION MODUL CONTROL BREAKER</t>
  </si>
  <si>
    <t>INSPECTION LAMPU SWITCH GEAR GCB</t>
  </si>
  <si>
    <t>INDIKATOR DAN LAMPU PANEL SWITCH GEAR GCB</t>
  </si>
  <si>
    <t>PENGETESAN POWER DC UNTUK SUPPLY CONTROL 6,3 KV SWITCH GEAR GCB</t>
  </si>
  <si>
    <t>INSPECTION HEATER CUBICLE SWITCH GEAR GCB</t>
  </si>
  <si>
    <t>INSPECTION DAN CLEANING TERMINASI SWITCH GEAR GCB</t>
  </si>
  <si>
    <t>INSPECTION DAN PENGUJIAN RELAY PROTEKSI SWITCH GEAR GCB</t>
  </si>
  <si>
    <t>INSPECTION GROUNDING SYSTEM SWITCH GEAR GCB</t>
  </si>
  <si>
    <t>INSPECTION TAHANAN ISOLASI BUS BAR SWITCH GEAR GCB</t>
  </si>
  <si>
    <t>INSPECTION CT &amp; PT SWITCH GEAR GCB</t>
  </si>
  <si>
    <t>FUNCTION TEST SWITCH GEAR GCB</t>
  </si>
  <si>
    <t>INSPECTION HEATER SYSTEM</t>
  </si>
  <si>
    <t>INSPECTION DISPLAY BREAKER</t>
  </si>
  <si>
    <t>INSPECTION HEATER BUSDUCT</t>
  </si>
  <si>
    <t>INSPECTION BOLT BUSBAR, FLANGE &amp; INSPECTION HOLE BUSDUCT</t>
  </si>
  <si>
    <t>INSPECTION SILICA BUSDUCT</t>
  </si>
  <si>
    <t>CEK KEBOCORAN DAN KELEMBAPAN BUSDUCT</t>
  </si>
  <si>
    <t>INSPECTION CONTACT RESISTANCE BUSDUCT</t>
  </si>
  <si>
    <t>INSPECTION ISOLATION RESISTANCE BUSDUCT</t>
  </si>
  <si>
    <t>DISASSEMBLY BRACKET GENERATOR SISI FRONT</t>
  </si>
  <si>
    <t>DISASSEMBLY BRACKET GENERATOR SISI REAR</t>
  </si>
  <si>
    <t>DISASSEMBLY OIL DEFLECTOR BEARING</t>
  </si>
  <si>
    <t>CLEANING BODY GENERATOR</t>
  </si>
  <si>
    <t>CLEANING OIL DEFLECTOR BEARING</t>
  </si>
  <si>
    <t>CLEANING BOLT &amp; NUT</t>
  </si>
  <si>
    <t>INSPECTION OIL DEFLECTOR BEARING 3 &amp; 4</t>
  </si>
  <si>
    <t>INSPECTION SHROUD &amp; FAN BLADE</t>
  </si>
  <si>
    <t>INSPECTION STATOR GENERATOR (IR, PI)</t>
  </si>
  <si>
    <t>INSPECTION ROTOR GENERATOR (IR, PI, RSO)</t>
  </si>
  <si>
    <t>INSPECTION VISUAL ISOLATOR</t>
  </si>
  <si>
    <t>INSPECTION ROTOR GROUNDING</t>
  </si>
  <si>
    <t>INSPECTION VISUAL FLEXIBLE ISOLATOR</t>
  </si>
  <si>
    <t>INSPECTION BRUSH GROUNDING</t>
  </si>
  <si>
    <t>INSPECTION TAHANAN ISOLASI GENERATOR</t>
  </si>
  <si>
    <t>INSPECTION HEATER NEUTRAL SIDE CUBICLE</t>
  </si>
  <si>
    <t>INSPECTION HEATER LINE SIDE CUBICLE</t>
  </si>
  <si>
    <t>ASSEMBLY OIL DEFLECTOR BEARING</t>
  </si>
  <si>
    <t>ASSEMBLY BRACKET SISI FRONT</t>
  </si>
  <si>
    <t>ASSEMBLY BRACKET SISI REAR</t>
  </si>
  <si>
    <t>PENGUKURAN TAHANAN RESISTOR</t>
  </si>
  <si>
    <t>INSPECTION &amp; CLEANING PT</t>
  </si>
  <si>
    <t>INSPECTION &amp; CLEANING CT</t>
  </si>
  <si>
    <t>PENGUKURAN TAHANAN ISOLASI PERMANEN MAGNET GENERATOR (PMG)</t>
  </si>
  <si>
    <t>INSPECTION DIODA EXCITER PERMANEN MAGNET GENERATOR (PMG)</t>
  </si>
  <si>
    <t>INSPECTION TERMINASI PERMANEN MAGNET GENERATOR (PMG)</t>
  </si>
  <si>
    <t>INSPECTION GROUNDING SYSTEM PERMANEN MAGNET GENERATOR (PMG)</t>
  </si>
  <si>
    <t>INSPECTION FUSE PANEL PERMANEN MAGNET GENERATOR (PMG)</t>
  </si>
  <si>
    <t>INSPECTION DISCONNECTING SWITCH NETRAL GROUNDING RESISTANCE (NGR)</t>
  </si>
  <si>
    <t>INSPECTION TRAFO NETRAL GROUNDING RESISTANCE (NGR)</t>
  </si>
  <si>
    <t>INSPECTION ISOLATOR BUSHING NETRAL GROUNDING RESISTANCE (NGR)</t>
  </si>
  <si>
    <t>INSPECTION TERMINASI NETRAL GROUNDING RESISTANCE (NGR)</t>
  </si>
  <si>
    <t>TEST TAHANAN ISOLASI NETRAL GROUNDING RESISTANCE (NGR)</t>
  </si>
  <si>
    <t>INSPECTION HEATER BUSDUCT NETRAL GROUNDING RESISTANCE (NGR)</t>
  </si>
  <si>
    <t>CLEANING</t>
  </si>
  <si>
    <t>INSPECTION ISOLATOR BUSHING</t>
  </si>
  <si>
    <t>CLEANING BUSHING CONNECTION HV &amp; LV</t>
  </si>
  <si>
    <t>INSPECTION DAN CLEANING PANEL</t>
  </si>
  <si>
    <t>INSPECTION SILICAGEL</t>
  </si>
  <si>
    <t>INSPECTION GROUNDING SYSTEM</t>
  </si>
  <si>
    <t>INSPECTION KEBOCORAN MINYAK TRAFO</t>
  </si>
  <si>
    <t>PROTECTIVE DEVICE TEST DAN RESET TRAFO</t>
  </si>
  <si>
    <t>INSPECTION PANEL TAP CHANGER</t>
  </si>
  <si>
    <t>INSPECTION TAHANAN ISOLASI WINDING TRAFO</t>
  </si>
  <si>
    <t>RDS TEST</t>
  </si>
  <si>
    <t>MECHANICAL RELAY TEST</t>
  </si>
  <si>
    <t>INSPECTION GROUNDING SYSTEM NETRAL GROUNDING RESISTANCE (NGR)</t>
  </si>
  <si>
    <t>MSW20BBA10GS101:UNIT 1 SWITCHGEAR 6.6KV INCOMING PANEL (MV UAT 2 CB9)</t>
  </si>
  <si>
    <t>MSW20BBA10GS102:UNIT 1 SWITCHGEAR 6,6KV UNIT 1 OUTGOING FEEDER 1 PA FAN 1</t>
  </si>
  <si>
    <t>MSW20BBA10GS103:UNIT 1 SWITCHGEAR 6,6KV UNIT 1 OUTGOING FEEDER 2 PA FAN 2</t>
  </si>
  <si>
    <t>MSW20BBA10GS104:UNIT 1 SWITCHGEAR 6,6KV UNIT 1 OUTGOING FEEDER 3 SA FAN 1</t>
  </si>
  <si>
    <t>MSW20BBA10GS105:UNIT 1 SWITCHGEAR 6,6KV UNIT 1 OUTGOING FEEDER 4 SA FAN 2</t>
  </si>
  <si>
    <t>MSW20BBA10GS106:UNIT 1 SWITCHGEAR 6,6KV UNIT 1 OUTGOING FEEDER 5 ID FAN 1</t>
  </si>
  <si>
    <t>MSW20BBA10GS107:UNIT 1 SWITCHGEAR 6,6KV UNIT 1 OUTGOING FEEDER 6 ID FAN 2</t>
  </si>
  <si>
    <t>MSW20BBA10GS108:UNIT 1 SWITCHGEAR 6,6KV UNIT 1 OUTGOING FEEDER 8 BF PUMP 1</t>
  </si>
  <si>
    <t>MSW20BBA10GS109:UNIT 1 SWITCHGEAR 6,6KV UNIT 1 OUTGOING FEEDER 9 BF PUMP 2</t>
  </si>
  <si>
    <t>MSW20BBA10GS110:UNIT 1 SWITCHGEAR 6,6KV UNIT 1 OUTGOING FEEDER 7 CW PUMP 3</t>
  </si>
  <si>
    <t>MSW20BBA10GS111:UNIT 1 SWITCHGEAR 6,6KV UNIT 1 OUTGOING FEEDER 11 CW PUMP 4</t>
  </si>
  <si>
    <t>MSW20BBA10GS112:UNIT 1 SWITCHGEAR 6,6KV UNIT 1 OUTGOING FEEDER 12 CW PUMP 5</t>
  </si>
  <si>
    <t>MSW20BBA10GS113:UNIT 1 SWITCHGEAR 6,6KV UNIT 1 TRAFO FEEDER</t>
  </si>
  <si>
    <t>UNIT 1 SWITCHGEAR 6,6KV UNIT 1 ADAPTER</t>
  </si>
  <si>
    <t>MSW20BBA10GS114:UNIT 1 SWITCHGEAR 6,6KV METERING (L10)</t>
  </si>
  <si>
    <t>SWITCHGEAR 6,6KV UNIT 1 INCOMMING GENERATOR 1</t>
  </si>
  <si>
    <t>SWITCHGEAR 6,6KV UNIT 1 INCOMMING GENERATOR 2</t>
  </si>
  <si>
    <t>SWITCHGEAR 6,6KV UNIT 1 INCOMMING GENERATOR 3</t>
  </si>
  <si>
    <t>SWITCHGEAR 6,6KV UNIT 1 INCOMMING GENERATOR 4</t>
  </si>
  <si>
    <t>SWITCHGEAR 6,6KV UNIT 1 OUTGOING TRAFO 1</t>
  </si>
  <si>
    <t>SWITCHGEAR 6,6KV UNIT 1 OUTGOING TRAFO 2</t>
  </si>
  <si>
    <t>MSW00BBA10CE201:MV COMMON METERING</t>
  </si>
  <si>
    <t>MSW00BBA10GH201:SWITCHGEAR 6.6KV COMMON BUSTIE RIGHT</t>
  </si>
  <si>
    <t>MSW00BBA10GH202:SWITCHGEAR 6.6KV COMMON BUSTIE LEFT</t>
  </si>
  <si>
    <t>MSW00BBA10GH203:SWITCHGEAR 6.6KV COMMON TRAFO FEEDER</t>
  </si>
  <si>
    <t>CONDENSATE PRESSURE TO BYPASS SPRAY PRESSURE TRANSMITTER (20LCE40CP001)</t>
  </si>
  <si>
    <t>CONDENSATE PRESSURE TO BYPASS SPRAY PRESSURE TRANSMITTER (20LCE40CP002)</t>
  </si>
  <si>
    <t>CONDENSATE PRESSURE TO BYPASS SPRAY PRESSURE TRANSMITTER (20LCE40CP003)</t>
  </si>
  <si>
    <t>ACTUATOR TURBINE EXTRACTION III TO DEAERATOR CV 10LBD20AA210</t>
  </si>
  <si>
    <t>ACTUATOR MOV TURBINE STOP VALVE UNIT 1</t>
  </si>
  <si>
    <t>ACTUATOR MOV PREHEATING 1 TURBINE</t>
  </si>
  <si>
    <t>ACTUATOR MOV PREHEATING 2 TURBINE</t>
  </si>
  <si>
    <t>TURBINE EXTRACTION II TO LPH2 TEMPERATURE TRANSMITTER (20LBD30CT001)</t>
  </si>
  <si>
    <t>TURBINE EXTRACTION III TO DEAERATOR TEMPERATURE TRANSMITTER (20LBD20CT001)</t>
  </si>
  <si>
    <t>TURBINE EXTRACTION I TO LPH1 TEMPERATURE TRANSMITTER (20LBD10CT001)</t>
  </si>
  <si>
    <t>MSW20MAA10CP302 : UNIT 1 TURBINE BEHIND CONTROL STAGE PRESSURE TRANSMITTER (20MAA10CP001)</t>
  </si>
  <si>
    <t>MSW20MAA10CP303 : UNIT 1 TURBINE EXHAUST PRESSURE TRANSMITTER (20MAA10CP002)</t>
  </si>
  <si>
    <t>MSW20MAA10CP304 : UNIT 1 TURBINE EXHAUST PRESSURE TRANSMITTER (20MAA10CP003)</t>
  </si>
  <si>
    <t>MSW20MAA10CP305 : UNIT 1 TURBINE EXHAUST PRESSURE TRANSMITTER (20MAA10CP004)</t>
  </si>
  <si>
    <t>MSW20MAA10CP306 : UNIT 1 TURBINE BEHIND CONTROL STAGE PRESSURE TRANSMITTER (20MAA10CP005)</t>
  </si>
  <si>
    <t>MOV TURBINE STEAM EXTRACTION-1</t>
  </si>
  <si>
    <t>MOV TURBINE STEAM EXTRACTION-2</t>
  </si>
  <si>
    <t>MOV MAIN STEAM DRAIN STG-2</t>
  </si>
  <si>
    <t>TURBINE CASING TEMPERATURE - INSIDE TRANSMITTER 10MAA10CT012</t>
  </si>
  <si>
    <t>TURBINE CASING TEMPERATURE - CENTER TRANSMITTER 10MAA10CT013</t>
  </si>
  <si>
    <t>DEAERATOR PRDS OUTLET TO EXTRACTION I - DEAERATOR I/L TEMP TRANSMITTER 10LBD11CT002</t>
  </si>
  <si>
    <t>DEAERATOR PRDS OUTLET TO EXTRACTION I - DEAERATOR I/L TEMP TRANSMITTER 10LBD11CT001</t>
  </si>
  <si>
    <t>DEAERATOR PRDS TO OUTLET EXTRACTION TRANSMITTER 10LBD11CP001</t>
  </si>
  <si>
    <t>DEAERATOR PRDS TO OUTLET EXTRACTION II TRANSMITTER 10LBD11CP002</t>
  </si>
  <si>
    <t>FEEDWATER STORAGE TANK PRESSURE TRANSMITTER 10LAA20CP001</t>
  </si>
  <si>
    <t>CONTROL VALVE LPH-1</t>
  </si>
  <si>
    <t>CONTROL VALVE LPH-2</t>
  </si>
  <si>
    <t>LP HEATER 2 TRANSMITTER 10LCC40CL001</t>
  </si>
  <si>
    <t>LP HEATER 2 TRANSMITTER 10LCC40CL002</t>
  </si>
  <si>
    <t>LPH II - TUBE SIDE OUTLET TO DEAERATOR TEMP TRANSMITTER 10LCC20CT001</t>
  </si>
  <si>
    <t>FEEDWATER STORAGE TANK TRANSMITTER 10LAA20CT001</t>
  </si>
  <si>
    <t>CYCLE MAKE UP PUMP DEAERATOR TRANSMITTER 10HGC20CF001</t>
  </si>
  <si>
    <t>DEAERATOR TANK LEVEL 1 TRANSMITTER 10LAA20CL001</t>
  </si>
  <si>
    <t>DEAERATOR TANK LEVEL 2 TRANSMITTER 10LAA20CL002</t>
  </si>
  <si>
    <t>DEAERATOR TANK LEVEL 3 TRANSMITTER 10LAA20CL003</t>
  </si>
  <si>
    <t>TURBINE EXTRACTION III TO DEAERATOR PRESSURE TRANSMITTER 10LBD20CP001</t>
  </si>
  <si>
    <t>TURBINE EXTRACTION III TO LPH PRESSURE TRANSMITTER 10LBD30CP001</t>
  </si>
  <si>
    <t>TURBINE EXTRACTION 1 TO PNEUMATIC OPERATED VALVE PRESSURE TRANSMITTER 10LBS10CP001</t>
  </si>
  <si>
    <t>LP HEATER 1 TRANSMITTER 10LCC30CL001</t>
  </si>
  <si>
    <t>LP HEATER 1 TRANSMITTER 10LCC30CL002</t>
  </si>
  <si>
    <t>FLOW CONDESATE TO LP HEATER 1 TRANSMITTER 10LCA40CF001</t>
  </si>
  <si>
    <t>CONDENSATE TO LP HEATER TRANSMITTER 10LCA40CF001</t>
  </si>
  <si>
    <t>MSW00CYE10GH101 : ALARM SYSTEM ADMIN BUILDING</t>
  </si>
  <si>
    <t>MSW00CYE10GH102 : ALARM SYSTEM DG SHEET</t>
  </si>
  <si>
    <t>MSW00CYE10GH103 : PANEL MAIN FIRE ALARM SYSTEM</t>
  </si>
  <si>
    <t>MSW00CYE10GH104 : ALARM SYSTEM DM MCC ROOM</t>
  </si>
  <si>
    <t>MSW00CYE10GH105 : ALARM SYSTEM CHP MCC</t>
  </si>
  <si>
    <t>MSW00CYE10GH106 : ALARM SYSTEM AHP MCC</t>
  </si>
  <si>
    <t>MSW00CYE10GH107 : ALARM SYSTEM COOLING WATER</t>
  </si>
  <si>
    <t>MSW00CYE10GH108 : ALARM SYSTEM DM/RW.FW TW PUMP</t>
  </si>
  <si>
    <t>MSW00CYE10GH109 : ALARM SYSTEM WORKSHOP OFFICE ROOM</t>
  </si>
  <si>
    <t>MSW00CYE10GH110 : ALARM SYSTEM SWAS ROOM</t>
  </si>
  <si>
    <t>MSW00CYE10GH111 : ALARM SYSTEM STG BUILDING</t>
  </si>
  <si>
    <t>MSW00CYE10GH113 : ALARM SYSTEM SWITCHYARD BUILDING</t>
  </si>
  <si>
    <t>MSW00CYE10GH114 : ALARM SYSTEM REMOTE SUBSTATION BUILDING</t>
  </si>
  <si>
    <t>INSPECTION AND CALIBRATION OXYGEN ANALYZER</t>
  </si>
  <si>
    <t>P.A APH OUTLET FLOW DP TRANSMITTER 10HLA15CF001</t>
  </si>
  <si>
    <t>P.A APH OUTLET FLOW DP TRANSMITTER 10HLA15CF002</t>
  </si>
  <si>
    <t>P.A APH OUTLET PRESSURE TRANSMITTER 10HLA15CP001</t>
  </si>
  <si>
    <t>AIR SUB1 FLOW DP TRANSMITTER 10HJL10CF010</t>
  </si>
  <si>
    <t>AIR SUB2 FLOW DP TRANSMITTER 10HJL11CF010</t>
  </si>
  <si>
    <t>SA APH OUTLET FLOW TRANSMITTER 10HLA25CF001</t>
  </si>
  <si>
    <t>SA APH OUTLET FLOW TRANSMITTER 10HLA25CF002</t>
  </si>
  <si>
    <t>SA APH OUTLET PRESSURE TRANSMITTER 10HLA25CP001</t>
  </si>
  <si>
    <t>UNIT 1 SECONDARY AIR FAN IGV SUB 1 20HJL10AA010</t>
  </si>
  <si>
    <t>UNIT 1 SECONDARY AIR FAN IGV SUB 2 20HJL11AA010</t>
  </si>
  <si>
    <t>UNIT 1 SECONDARY AIR FAN IGV SA CONTROL DAMPER 20HLA25AA010</t>
  </si>
  <si>
    <t>PM PC OWS</t>
  </si>
  <si>
    <t>PM PC EWS</t>
  </si>
  <si>
    <t>PM panel RIO</t>
  </si>
  <si>
    <t>INSPECTION &amp; CALIBRATION STEAM DRUM VENTING ISOLATION VALVE</t>
  </si>
  <si>
    <t>INSPECTION &amp; CALIBRATION STEAM DRUM MOV VENTING REGULATING VALVE</t>
  </si>
  <si>
    <t>INSPECTION &amp; CALIBRATION STEAM DRUM CBD ISOLATION VALVE</t>
  </si>
  <si>
    <t>INSPECTION &amp; CALIBRATION STEAM DRUM MOV CBD REGULATING VALVE</t>
  </si>
  <si>
    <t>INSPECTION &amp; CALIBRATION STEAM DRUM IBD ISOLATION VALVE</t>
  </si>
  <si>
    <t>INSPECTION &amp; CALIBRATION STEAM DRUM MOV IBD REGULATING VALVE</t>
  </si>
  <si>
    <t>DRUM LEVEL TRANSMITTER 10HAD10CL001</t>
  </si>
  <si>
    <t>DRUM LEVEL TRANSMITTER 10HAD10CL002</t>
  </si>
  <si>
    <t>DRUM LEVEL TRANSMITTER 10HAD10CL003</t>
  </si>
  <si>
    <t>DRUM PRESSURE TRANSMITTER 10HAD10CP002</t>
  </si>
  <si>
    <t>DRUM PRESSURE TRANSMITTER 10HAD10CP003</t>
  </si>
  <si>
    <t>DRUM PRESSURE TRANSMITTER 10HAD10CP001</t>
  </si>
  <si>
    <t>COMBUSTER ASH DRAIN 1 (BED ASH COOLER DRAIN) MOV 10HHC01AA001</t>
  </si>
  <si>
    <t>COMBUSTER ASH DRAIN 2 (EMERGENCY ASH DRAIN) MOV 10HHC01AA002</t>
  </si>
  <si>
    <t>LIMESTONE GATE VALVE</t>
  </si>
  <si>
    <t>ACTUATOR BED MATERIAL DISCHARGE GATE VALVE 10ETG31AA01</t>
  </si>
  <si>
    <t>COMBUSTOR LOWER PRESSURE TRANSMITTER 10HHC01CP001</t>
  </si>
  <si>
    <t>MSW20HHC10CP102 : UNIT 1 COMBUSTOR DP WITH GRATE 10HHC01CP011</t>
  </si>
  <si>
    <t>MSW20HHC10CP103 : UNIT 1 COMBUSTOR UPPER DP 10HHC01CP012</t>
  </si>
  <si>
    <t>AIR COMBUSTOR AT LEVEL PRES TRANSMITTER 10HHC01CP060</t>
  </si>
  <si>
    <t>MSW20HHC10CT101 : UNIT 1 COMBUSTOR LOWER TEMP 10HHC01CT011</t>
  </si>
  <si>
    <t>MSW20HHC10CT102 : UNIT 1 COMBUSTOR LOWER TEMP 10HHC01CT012</t>
  </si>
  <si>
    <t>MSW20HHC10CT103 : UNIT 1 COMBUSTOR LOWER TEMP 10HHC01CT013</t>
  </si>
  <si>
    <t>MSW20HHC10CT104 : UNIT 1 COMBUSTOR MIDDLE TEMP 10HHC01CT041</t>
  </si>
  <si>
    <t>MSW20HHC10CT105 : UNIT 1 COMBUSTOR MIDDLE TEMP 10HHC01CT042</t>
  </si>
  <si>
    <t>MSW20HHC10CT106 : UNIT 1 COMBUSTOR MIDDLE TEMP 10HHC01CT043</t>
  </si>
  <si>
    <t>INLET BACKPASS PRESSURE TRANSMITTER 10HBK01CP003</t>
  </si>
  <si>
    <t>INLET BACKPASS PRESSURE TRANSMITTER 10HBK01CP002</t>
  </si>
  <si>
    <t>INLET BACKPASS PRESSURE TRANSMITTER 10HBK01CP001</t>
  </si>
  <si>
    <t>BACKPASS PRESSURE AFTER LT SH TRANSMITTER 10HBK01CP030</t>
  </si>
  <si>
    <t>BACKPASS PRESSURE AFTER ECO TRANSMITTER 10HBK01CP050</t>
  </si>
  <si>
    <t>MSW20HDF10CP102 : UNIT 1 BACKPASS INLET PRESSURE</t>
  </si>
  <si>
    <t>CYCLONE TO SEALPOT PRESSURE TRANSMITTER 10HDF01CP001</t>
  </si>
  <si>
    <t>MSW20HDF10CT101 : UNIT 1 BACKPASS INLET TEMPERATURE</t>
  </si>
  <si>
    <t>MSW20HDF10CT102 : UNIT 1 CYCLONE OUTLET TEMP 10HNA01CT001</t>
  </si>
  <si>
    <t>MSW20HDF10CT103 : UNIT 1 BACKPASS INLET TEMPERATURE</t>
  </si>
  <si>
    <t>MSW20HDF10CT104 : UNIT 1 CYCLONE INLET TEMPERATURE</t>
  </si>
  <si>
    <t>ACTUATOR DAMPER SEALPOT BLOWER 1</t>
  </si>
  <si>
    <t>ACTUATOR DAMPER SEALPOT BLOWER 2</t>
  </si>
  <si>
    <t>CALIBRATION PRESSURE TRANSMITTER</t>
  </si>
  <si>
    <t>CALIBRATION TEMPERATURE TRANSMITTER</t>
  </si>
  <si>
    <t>ERV PRESSURE SWITCH 10LBA20CP502</t>
  </si>
  <si>
    <t>INSPECTION AND CALIBRATION TEMP TRANSMITTER 10LBA10CT001</t>
  </si>
  <si>
    <t>INSPECTION AND CALIBRATION TEMP TRANSMITTER 10LBA10CT002</t>
  </si>
  <si>
    <t>INSPECTION AND CALIBRATION TEMP TRANSMITTER 10LBA10CT003</t>
  </si>
  <si>
    <t>ACTUATOR MAIN STEAM LINE (START UP BYPASS) TO DEAERATOR PRDS I/L CV 10LBH10AA210</t>
  </si>
  <si>
    <t>MS START-UP VENT VALVE (REGULATING) MOV 10LBA21AA011</t>
  </si>
  <si>
    <t>MS START-UP VENT VALVE (ISOLATION) MOV 10LBA21AA001</t>
  </si>
  <si>
    <t>MAIN STEAM LIVE PRESSURE TRANSMITTER 10LAB10CP001</t>
  </si>
  <si>
    <t>MAIN STEAM LIVE PRESSURE TRANSMITTER 10LAB10CP002</t>
  </si>
  <si>
    <t>MAIN STEAM LIVE PRESSURE TRANSMITTER 10LAB10CP003</t>
  </si>
  <si>
    <t>INSPECTION AND CALIBRATION FLOW TRANSMITTER 10LBA10CF001</t>
  </si>
  <si>
    <t>INSPECTION AND CALIBRATION FLOW TRANSMITTER 10LBA10CF002</t>
  </si>
  <si>
    <t>MSW20MAV10-M101 : UNIT 1 JACKING OIL PUMP MOTOR</t>
  </si>
  <si>
    <t>MSW20MAV10CP101 : UNIT 1 JACKING OIL PRESSURE TRANSMITTER</t>
  </si>
  <si>
    <t>INSPEKSI &amp; PM OIL PUMP MOTOR ( AUXILIARY, EMERGENCY, JACKING, BREATHER )</t>
  </si>
  <si>
    <t>INSPEKSI DAN KALIBRASI LUB OIL PRESSURE TRANSMITTER 10MAV40CP001</t>
  </si>
  <si>
    <t>INSPEKSI DAN KALIBRASI LUB OIL PRESSURE TRANSMITTER 10MAV40CP002</t>
  </si>
  <si>
    <t>INSPEKSI DAN KALIBRASI LUB OIL PRESSURE TRANSMITTER 10MAV40CP003</t>
  </si>
  <si>
    <t>VALVE POSITION BLOCK LIVE STEAM PT (20MAX45CP001)</t>
  </si>
  <si>
    <t>VALVE POSITION BLOCK LIVE STEAM PT (20MAX45CP002)</t>
  </si>
  <si>
    <t>VALVE POSITION BLOCK LIVE STEAM PT (20MAX45CP003)</t>
  </si>
  <si>
    <t>VALVE BLOCK - OUTLET POSITION LIVE STEAM PT (20MAX45CP004)</t>
  </si>
  <si>
    <t>CONTROL OIL PRESSURE PT (20MAX40CP001)</t>
  </si>
  <si>
    <t>VALVE CHEST TEMPERATURE TRANSMITTER 10MAA10CT011</t>
  </si>
  <si>
    <t>LIVE STEAM PRESSURE TRANSMITTER 10LBA10CP001</t>
  </si>
  <si>
    <t>CALIBRATION/FUNCTION TEST CONTROL VALVE</t>
  </si>
  <si>
    <t>CALIBRATION/FUNCTION TEST HP BYPASS CONTROL VALVE 20LBF10AA210</t>
  </si>
  <si>
    <t>HP BYPASS TEMPERATURE TRANSMITTER 10LBF10CT001</t>
  </si>
  <si>
    <t>BYPASS PRESSURE TRANSMITTER 10MAG10CP001</t>
  </si>
  <si>
    <t>MSW20LBF10CG101 : UNIT 1 STEAM BYPASS REDUCING CONTROL VALVE PRESSURE TRANSMITTER</t>
  </si>
  <si>
    <t>MSW20LBF10CP101 : UNIT 1 STEAM BYPASS REDUCING PRESSURE TRANSMITTER 10LBF10CP001</t>
  </si>
  <si>
    <t>MSW20LBF10CT101 : UNIT 1 STEAM BYPASS REDUCING TEMPERATURE TRANSMITTER</t>
  </si>
  <si>
    <t>DRAIN OF ESV 10MAL10AA210</t>
  </si>
  <si>
    <t>DRAIN OF CV CHAMBER 10MAL20AA210</t>
  </si>
  <si>
    <t>TURBINE DRAIN VALVE AFTER FIRST STAGE 10MAL30AA210</t>
  </si>
  <si>
    <t>TURBINE DRAIN VALVE 10MAL40AA210</t>
  </si>
  <si>
    <t>TURBINE DRAIN VALVE 10MAL50AA210</t>
  </si>
  <si>
    <t>TURBINE DRAIN VALVE 10MAL60AA210</t>
  </si>
  <si>
    <t>TURBINE DRAIN VALVE 10MAL70AA210</t>
  </si>
  <si>
    <t>MSW20MAJ10-M102 : UNIT 1 VACUUM PUMP A MOTOR (MEGGER, INSPEKSI TERMINAL BLOK, DAN SISTEM COOLING MOTOR)</t>
  </si>
  <si>
    <t>DISCHARGE, SUCTION &amp; VENTING VALVE VACUUM PUMP-1</t>
  </si>
  <si>
    <t>MSW20MAJ10AA101 : UNIT 1 AIR REMOVAL SYSTEM VACUUM BREAKER SOLENOID VALVE</t>
  </si>
  <si>
    <t>MSW20MAJ10CG101 : UNIT 1 AIR REMOVAL SYSTEM POSITION TRANSMITTER</t>
  </si>
  <si>
    <t>MSW20MAJ10-M202 : UNIT 1 VACUUM PUMP B MOTOR (MEGGER, INSPEKSI TERMINAL BLOK, DAN SISTEM COOLING MOTOR)</t>
  </si>
  <si>
    <t>DISCHARGE, SUCTION &amp; VENTING VALVE VACUUM PUMP-2</t>
  </si>
  <si>
    <t>MSW20MAJ10AA201 : UNIT 1 AIR REMOVAL SYSTEM VACUUM BREAKER SOLENOID VALVE</t>
  </si>
  <si>
    <t>MSW20MAJ10CG201 : UNIT 1 AIR REMOVAL SYSTEM POSITION TRANSMITTER</t>
  </si>
  <si>
    <t>MSW20MAG10CP103 : UNIT 1 CONDENSER BYPASS PRESSURE TRANSMITTER 10MAG10CP001</t>
  </si>
  <si>
    <t>COOLING WATER SUPPLY TEMPERATURE TRANSMITTER 10PAB11CT001</t>
  </si>
  <si>
    <t>COOLING WATER SUPPLY TEMPERATURE TRANSMITTER 10PAB12CT001</t>
  </si>
  <si>
    <t>COOLING WATER RETURN TEMPERATURE TRANSMITTER 10PAB21CT001</t>
  </si>
  <si>
    <t>COOLING WATER RETURN TEMPERATURE TRANSMITTER 10PAB22CT001</t>
  </si>
  <si>
    <t>CALIBRATION LIMIT SWITCH</t>
  </si>
  <si>
    <t>PRESSURE TRANSMITTER CONDENSATE PUMP TO DELIVERY 10LCA30CP001</t>
  </si>
  <si>
    <t>ACTUATOR CONDENSATE PUMP RECIRCULATION CONTROL VALVE 10LCA31AA210</t>
  </si>
  <si>
    <t>ACTUATOR MAIN CONDENSATE CONTROL VALVE 10LCA30AA240</t>
  </si>
  <si>
    <t>CEP DISCHARGE ISOLATION VALVE</t>
  </si>
  <si>
    <t>PENGUJIAN PROTEKSI FREQUENCY</t>
  </si>
  <si>
    <t>PENGUJIAN PROTEKSI DIFFERENSIAL GENERATOR</t>
  </si>
  <si>
    <t>PENGUJIAN PROTEKSI SHORT CIRCUIT</t>
  </si>
  <si>
    <t>PENGUJIAN PROTEKSI OVERCURRENT</t>
  </si>
  <si>
    <t>PENGUJIAN PROTEKSI OVERVOLTAGE</t>
  </si>
  <si>
    <t>PENGUJIAN PROTEKSI ROTOR EARTH FAULT</t>
  </si>
  <si>
    <t>PENGUJIAN PROTEKSI STATOR EARTH FAULT</t>
  </si>
  <si>
    <t>PENGUJIAN PROTEKSI REVERSE POWER</t>
  </si>
  <si>
    <t>PENGUJIAN PROTEKSI UNDER EXCITATION</t>
  </si>
  <si>
    <t>PENGUJIAN PROTEKSI OVER EXCITATION</t>
  </si>
  <si>
    <t>PENGUJIAN PROTEKSI NEGATIVE SEQUENCE</t>
  </si>
  <si>
    <t>PENGUJIAN PROTEKSI OVERLOAD</t>
  </si>
  <si>
    <t>CLEANING DAN TIGHTNING</t>
  </si>
  <si>
    <t>PERAWATAN BAGIAN EXTERNAL ENCLOSURE PANEL</t>
  </si>
  <si>
    <t>MEMBERSIHKAN FILTER PANEL</t>
  </si>
  <si>
    <t>PEMELIHARAAN FAN CONVERTER UNITROL</t>
  </si>
  <si>
    <t>MEMBERSIHKAN KOMPARTEMEN DALAM PANEL</t>
  </si>
  <si>
    <t>HOUSEKEEPING</t>
  </si>
  <si>
    <t>CLEANING, INSPECTION, &amp; REGREASING ALL SOOT BLOWER MOTOR 1</t>
  </si>
  <si>
    <t>CLEANING, INSPECTION, &amp; REGREASING ALL SOOT BLOWER MOTOR 2</t>
  </si>
  <si>
    <t>CLEANING, INSPECTION, &amp; REGREASING ALL SOOT BLOWER MOTOR 3</t>
  </si>
  <si>
    <t>CLEANING, INSPECTION, &amp; REGREASING ALL SOOT BLOWER MOTOR 4</t>
  </si>
  <si>
    <t>CLEANING, INSPECTION, &amp; REGREASING ALL SOOT BLOWER MOTOR 5</t>
  </si>
  <si>
    <t>CLEANING, INSPECTION, &amp; REGREASING ALL SOOT BLOWER MOTOR 6</t>
  </si>
  <si>
    <t>CLEANING, INSPECTION, &amp; REGREASING ALL SOOT BLOWER MOTOR 7</t>
  </si>
  <si>
    <t>CLEANING, INSPECTION, &amp; REGREASING ALL SOOT BLOWER MOTOR 8</t>
  </si>
  <si>
    <t>CLEANING, INSPECTION, &amp; REGREASING ALL SOOT BLOWER MOTOR 9</t>
  </si>
  <si>
    <t>CLEANING, INSPECTION, &amp; REGREASING ALL SOOT BLOWER MOTOR 10</t>
  </si>
  <si>
    <t>CLEANING, INSPECTION, &amp; REGREASING ALL SOOT BLOWER MOTOR 11</t>
  </si>
  <si>
    <t>SOOT BLOWER STEAM OUTLET TRANSMITTER 10HCB10CP001</t>
  </si>
  <si>
    <t>SOOT BLOWER STEAM FLOW TRANSMITTER 10HCB10CF001</t>
  </si>
  <si>
    <t>ACTUATOR VALVE DRAIN SOOT BLOWER 10HCB10AA201</t>
  </si>
  <si>
    <t>SOOT BLOWER VALVE MOV 10HCB10AA001</t>
  </si>
  <si>
    <t>ACTUATOR SOOT BLOWER CONTROL VALVE 10HCB10EX001</t>
  </si>
  <si>
    <t>INSPEKSI LV TRANSFORMER</t>
  </si>
  <si>
    <t>RDC Test LV TRANSFORMER</t>
  </si>
  <si>
    <t>FUNGSI RACK OUT RACK IN</t>
  </si>
  <si>
    <t>PERAWATAN BAGIAN EXTERNAL ENCLOSURE MCC</t>
  </si>
  <si>
    <t>PERAWATAN KOMPARTEMEN BUSBAR</t>
  </si>
  <si>
    <t>PENGUJIAN TAHANAN ISOLASI BUSBAR *)sudah termasuk busbar dan busduct</t>
  </si>
  <si>
    <t>PENGUJIAN TAHANAN KONTAK BUSBAR</t>
  </si>
  <si>
    <t>PERAWATAN KOMPARTEMEN KABEL</t>
  </si>
  <si>
    <t>PERAWATAN KOMPARTEMEN MARSHALLING PANEL</t>
  </si>
  <si>
    <t>PERAWATAN KOMPARTEMEN TRAFO KONTROL</t>
  </si>
  <si>
    <t>PERAWATAN KOMPARTEMEN SOOTBLOWER MCC FEEDER</t>
  </si>
  <si>
    <t>PERAWATAN KOMPARTEMEN TG MCC FEEDER</t>
  </si>
  <si>
    <t>PERAWATAN KOMPARTEMEN ADAPTER PANEL</t>
  </si>
  <si>
    <t>PENGUJIAN TAHANAN KONTAK BUSDUCT BUSTIE</t>
  </si>
  <si>
    <t>PERAWATAN ACB INCOMMING</t>
  </si>
  <si>
    <t>PENGUJIAN TAHANAN ISOLASI ACB INCOMMING</t>
  </si>
  <si>
    <t>PENGUJIAN TAHANAN KONTAK ACB INCOMMING</t>
  </si>
  <si>
    <t>PENGUJIAN ANALISA CB</t>
  </si>
  <si>
    <t>PERAWATAN ACB ESP FEEDER</t>
  </si>
  <si>
    <t>PENGUJIAN TAHANAN ISOLASI ACB ESP FEEDER</t>
  </si>
  <si>
    <t>PENGUJIAN TAHANAN KONTAK ACB ESP FEEDER</t>
  </si>
  <si>
    <t>PENGUJIAN ANALISA CB ESP FEEDER</t>
  </si>
  <si>
    <t>PERAWATAN ACB BOILER FEEDER</t>
  </si>
  <si>
    <t>PENGUJIAN TAHANAN KONTAK ACB BOILER FEEDER</t>
  </si>
  <si>
    <t>PENGUJIAN ANALISA CB BOILER FEEDER</t>
  </si>
  <si>
    <t>PERAWATAN ACB COOLING TOWER MCC FEEDER</t>
  </si>
  <si>
    <t>PENGUJIAN TAHANAN ISOLASI ACB COOLING TOWER FEEDER</t>
  </si>
  <si>
    <t>PENGUJIAN TAHANAN KONTAK ACB COOLING TOWER FEEDER</t>
  </si>
  <si>
    <t>PENGUJIAN ANALISA CB COOLING TOWER FEEDER</t>
  </si>
  <si>
    <t>PENGUJIAN TAHANAN ISOLASI BUSBAR</t>
  </si>
  <si>
    <t>PERAWATAN MODULE WITHDRAWABLE</t>
  </si>
  <si>
    <t>PENGUJIAN TAHANAN ISOLASI ACB INCOMING</t>
  </si>
  <si>
    <t>PENGUJIAN TAHANAN KONTAK ACB</t>
  </si>
  <si>
    <t>GLAND STEAM CONDENSER VENTING MOTOR</t>
  </si>
  <si>
    <t>GLAND STEAM PRESSURE TRANSMITTER 10MAW11CP001</t>
  </si>
  <si>
    <t>ACTUATOR GLAND STEAM PRESSURE CONTROL VALVE 10MAW10AA210</t>
  </si>
  <si>
    <t>ACTUATOR GLAND STEAM TEMPERATURE CONTROL VALVE 10LCE10AA210</t>
  </si>
  <si>
    <t>GENERAL CLEANING</t>
  </si>
  <si>
    <t>INLET BACKPASS PRESSURE TRANSMITTER</t>
  </si>
  <si>
    <t>BACKPASS PRESSURE AFTER LT SH TRANSMITTER</t>
  </si>
  <si>
    <t>BACKPASS PRESSURE AFTER ECO TRANSMITTER</t>
  </si>
  <si>
    <t>Panel Bapcon - Rapcon Field 1</t>
  </si>
  <si>
    <t>Panel Bapcon - Rapcon Field 2</t>
  </si>
  <si>
    <t>Panel Bapcon - Rapcon Field 3</t>
  </si>
  <si>
    <t>Panel Bapcon - Rapcon Field 4</t>
  </si>
  <si>
    <t>Panel Bapcon - Rapcon Field 5</t>
  </si>
  <si>
    <t>Panel Bapcon - Rapcon Field 6</t>
  </si>
  <si>
    <t>Equipment_ID</t>
  </si>
  <si>
    <t>Equipment_Description</t>
  </si>
  <si>
    <t>KKS</t>
  </si>
  <si>
    <t>Finish_Date</t>
  </si>
  <si>
    <t>General_Inspection_TRUE_FALSE</t>
  </si>
  <si>
    <t>Function_Test_TRUE_FALSE</t>
  </si>
  <si>
    <t>AV-001</t>
  </si>
  <si>
    <t>ACTUATOR FEED WATER CONTROL VALVE 100% 10LAB30AA210</t>
  </si>
  <si>
    <t>10LAB30AA210</t>
  </si>
  <si>
    <t>28/08/2026</t>
  </si>
  <si>
    <t>Testing OK</t>
  </si>
  <si>
    <t>AV-002</t>
  </si>
  <si>
    <t>ACTUATOR FEED WATER CONTROL VALVE 30% 10LAB30AA210</t>
  </si>
  <si>
    <t>AV-003</t>
  </si>
  <si>
    <t>ACTUATOR DESH-1 SPRAY WATER ISOLATION</t>
  </si>
  <si>
    <t>29/08/2026</t>
  </si>
  <si>
    <t>AV-004</t>
  </si>
  <si>
    <t>ACTUATOR DESH-1 SPRAY WATER CONTROL VALVE</t>
  </si>
  <si>
    <t>AV-005</t>
  </si>
  <si>
    <t>ACTUATOR DESH-2 SPRAY WATER ISOLATION</t>
  </si>
  <si>
    <t>AV-006</t>
  </si>
  <si>
    <t>ACTUATOR DESH-2 SPRAY WATER CONTROL VALVE</t>
  </si>
  <si>
    <t>AV-007</t>
  </si>
  <si>
    <t>ACTUATOR FUEL COAL GATE VALVE 1 (MFT-1) 10HHE11AA01</t>
  </si>
  <si>
    <t>10HHE11AA01</t>
  </si>
  <si>
    <t>AV-008</t>
  </si>
  <si>
    <t>ACTUATOR FUEL COAL GATE VALVE 2 (MFT-2) 10HHE12AA01</t>
  </si>
  <si>
    <t>10HHE12AA01</t>
  </si>
  <si>
    <t>AV-009</t>
  </si>
  <si>
    <t>ID FAN</t>
  </si>
  <si>
    <t>ACTUATOR IGV ID FAN 1 10HNC01EX001</t>
  </si>
  <si>
    <t>10HNC01EX001</t>
  </si>
  <si>
    <t>AV-010</t>
  </si>
  <si>
    <t>ACTUATOR IGV ID FAN 2 10HNC01EX002</t>
  </si>
  <si>
    <t>10HNC01EX002</t>
  </si>
  <si>
    <t>AV-011</t>
  </si>
  <si>
    <t>ACTUATOR INLET ID FAN 1 MOV 10HNA61AA001</t>
  </si>
  <si>
    <t>10HNA61AA001</t>
  </si>
  <si>
    <t>AV-012</t>
  </si>
  <si>
    <t>ACTUATOR INLET ID FAN 2 MOV 10HNA62AA001</t>
  </si>
  <si>
    <t>10HNA62AA001</t>
  </si>
  <si>
    <t>AV-013</t>
  </si>
  <si>
    <t>ACTUATOR OUTLET ID FAN 1 MOV 10HNA71AA001</t>
  </si>
  <si>
    <t>10HNA71AA001</t>
  </si>
  <si>
    <t>AV-014</t>
  </si>
  <si>
    <t>ACTUATOR OUTLET ID FAN 2 MOV 10HNA72AA001</t>
  </si>
  <si>
    <t>10HNA72AA001</t>
  </si>
  <si>
    <t>AV-015</t>
  </si>
  <si>
    <t>STG</t>
  </si>
  <si>
    <t>10LAE10AA110</t>
  </si>
  <si>
    <t>AV-016</t>
  </si>
  <si>
    <t>ACTUATOR MAIN STEAM LINE (START UP BYPASS) TO DEAERATOR PRDS I/L CV 10LBH10AA210</t>
  </si>
  <si>
    <t>10LBH10AA210</t>
  </si>
  <si>
    <t>AV-017</t>
  </si>
  <si>
    <t>ACTUATOR BFP SPRAY LINE (FEED WATER) TO DEAERATOR PRDS I/L CV 10LAE10AA210</t>
  </si>
  <si>
    <t>10LAE10AA210</t>
  </si>
  <si>
    <t>AV-018</t>
  </si>
  <si>
    <t>ACTUATOR TURBINE EXTRACTION III TO DEAERATOR CV 10LBD10AA210</t>
  </si>
  <si>
    <t>10LBD10AA210</t>
  </si>
  <si>
    <t>AV-019</t>
  </si>
  <si>
    <t>MOV DISCHARGE BFP-1</t>
  </si>
  <si>
    <t>AV-020</t>
  </si>
  <si>
    <t>MOV DISCHARGE BFP-2</t>
  </si>
  <si>
    <t>AV-021</t>
  </si>
  <si>
    <t>PA FAN</t>
  </si>
  <si>
    <t>ACTUATOR MOV OUTLET PA FAN 1</t>
  </si>
  <si>
    <t>AV-022</t>
  </si>
  <si>
    <t>ACTUATOR MOV PA FAN 1</t>
  </si>
  <si>
    <t>AV-023</t>
  </si>
  <si>
    <t>ACTUATOR ISOLATION STARTUP VENTING BOILER</t>
  </si>
  <si>
    <t>AV-024</t>
  </si>
  <si>
    <t>ACTUATOR IGV SA FAN 1 10HLB01EX001</t>
  </si>
  <si>
    <t>10HLB01EX001</t>
  </si>
  <si>
    <t>AV-025</t>
  </si>
  <si>
    <t>ACTUATOR IGV SA FAN 2 10HLB02EX001</t>
  </si>
  <si>
    <t>10HLB02EX001</t>
  </si>
  <si>
    <t>AV-026</t>
  </si>
  <si>
    <t>ACTUATOR IGV SA CONTROL DAMPER 10HLA25AA010</t>
  </si>
  <si>
    <t>10HLA25AA010</t>
  </si>
  <si>
    <t>AV-027</t>
  </si>
  <si>
    <t>ACTUATOR IGV SUB 1 10HJL10AA010</t>
  </si>
  <si>
    <t>10HJL10AA010</t>
  </si>
  <si>
    <t>AV-028</t>
  </si>
  <si>
    <t>ACTUATOR IGV SUB 2 10HJL11AA010</t>
  </si>
  <si>
    <t>10HJL11AA010</t>
  </si>
  <si>
    <t>AV-029</t>
  </si>
  <si>
    <t>ACTUATOR BED MATERIAL DISCHARGE GATE VALVE 10ETG31AA01</t>
  </si>
  <si>
    <t>10ETG31AA01</t>
  </si>
  <si>
    <t>AV-030</t>
  </si>
  <si>
    <t>ACTUATOR VALVE DRAIN SOOT BLOWER 10HCB10AA101</t>
  </si>
  <si>
    <t>10HCB10AA101</t>
  </si>
  <si>
    <t>AV-031</t>
  </si>
  <si>
    <t>COMBUSTER ASH DRAIN 1 (BED ASH COLLER DRAIN) MOV 10HHC01AA001</t>
  </si>
  <si>
    <t>10HHC01AA001</t>
  </si>
  <si>
    <t>AV-032</t>
  </si>
  <si>
    <t>10HHC01AA002</t>
  </si>
  <si>
    <t>AV-033</t>
  </si>
  <si>
    <t>SOOT BLOWER CONTROL VALVE</t>
  </si>
  <si>
    <t>AV-034</t>
  </si>
  <si>
    <t>SOOT BLOWER ISOLATION VALVE MOV 10HCB10AA001</t>
  </si>
  <si>
    <t>10HCB10AA001</t>
  </si>
  <si>
    <t>AV-035</t>
  </si>
  <si>
    <t>MS START UP VENT VALVE (REG) MOV 10LBA21AA011</t>
  </si>
  <si>
    <t>10LBA21AA011</t>
  </si>
  <si>
    <t>AV-036</t>
  </si>
  <si>
    <t>MS START UP VENT VALVE (ISO) MOV 10LBA21AA001</t>
  </si>
  <si>
    <t>10LBA21AA001</t>
  </si>
  <si>
    <t>AV-037</t>
  </si>
  <si>
    <t>ACTUATOR SOOT BLOWER CV 10HCB10EX001</t>
  </si>
  <si>
    <t>10HCB10EX001</t>
  </si>
  <si>
    <t>AV-038</t>
  </si>
  <si>
    <t>AV-039</t>
  </si>
  <si>
    <t>AV-040</t>
  </si>
  <si>
    <t>AV-041</t>
  </si>
  <si>
    <t>AV-042</t>
  </si>
  <si>
    <t>FLUIDIZING VALVE BED MATERIAL</t>
  </si>
  <si>
    <t>AV-043</t>
  </si>
  <si>
    <t>FLUIDIZING VALVE LIMESTONE 1&amp;2</t>
  </si>
  <si>
    <t>AV-044</t>
  </si>
  <si>
    <t>DRUM</t>
  </si>
  <si>
    <t>ACTUATOR STEAM DRUM VENTING ISOLATION VALVE</t>
  </si>
  <si>
    <t>AV-045</t>
  </si>
  <si>
    <t>ACTUATOR STEAM DRUM MOV VENTING VALVE</t>
  </si>
  <si>
    <t>AV-046</t>
  </si>
  <si>
    <t>ACTUATOR STEAM DRUM CBD ISOLATION VALVE</t>
  </si>
  <si>
    <t>AV-047</t>
  </si>
  <si>
    <t>ACTUATOR STEAM DRUM MOV CBD CONTROL VALVE</t>
  </si>
  <si>
    <t>AV-048</t>
  </si>
  <si>
    <t>ACTUATOR STEAM DRUM IBD ISOLATION VALVE</t>
  </si>
  <si>
    <t>AV-049</t>
  </si>
  <si>
    <t>ACTUATOR STEAM DRUM MOV IBD CONTROL VALVE</t>
  </si>
  <si>
    <t>AV-050</t>
  </si>
  <si>
    <t>ACTUATOR MOV OUTLET PA FAN 2</t>
  </si>
  <si>
    <t>AV-051</t>
  </si>
  <si>
    <t>ACTUATOR MOV PA FAN2</t>
  </si>
  <si>
    <t>AV-052</t>
  </si>
  <si>
    <t>SA FAN</t>
  </si>
  <si>
    <t>ACTUATOR MOV OUTLET SA FAN 1</t>
  </si>
  <si>
    <t>AV-053</t>
  </si>
  <si>
    <t>ACTUATOR MOV OUTLET SA FAN 2</t>
  </si>
  <si>
    <t>AV-054</t>
  </si>
  <si>
    <t>ACTUATOR HP BYPASS CONTROL VALVE 10LBF10AA210</t>
  </si>
  <si>
    <t>10LBF10AA210</t>
  </si>
  <si>
    <t>AV-055</t>
  </si>
  <si>
    <t>ACTUATOR CONDENSATE PUMP RECIRCULATION CONTROL VALVE 10LCA31AA210</t>
  </si>
  <si>
    <t>10LCA31AA210</t>
  </si>
  <si>
    <t>AV-056</t>
  </si>
  <si>
    <t>ACTUATOR MAIN CONDENSATE CONTROL VALVE 10LCA30AA240</t>
  </si>
  <si>
    <t>10LCA30AA240</t>
  </si>
  <si>
    <t>AV-057</t>
  </si>
  <si>
    <t>ACTUATOR GLAND STEAM PRESSURE CONTROL VALVE 10MAW10AA210</t>
  </si>
  <si>
    <t>10MAW10AA210</t>
  </si>
  <si>
    <t>AV-058</t>
  </si>
  <si>
    <t>ACTUATOR GLAND STEAM TEMP. CONTROL VALVE 10LCE10AA210</t>
  </si>
  <si>
    <t>10LCE10AA210</t>
  </si>
  <si>
    <t>AV-059</t>
  </si>
  <si>
    <t>ACTUATOR BYPASS SPRAY CONTROL VALVE 10LCE40AA210</t>
  </si>
  <si>
    <t>10LCE40AA210</t>
  </si>
  <si>
    <t>AV-060</t>
  </si>
  <si>
    <t>CEP DISCHARGE VALVE</t>
  </si>
  <si>
    <t>AV-061</t>
  </si>
  <si>
    <t>DISCHARGE, SUCTION &amp; VENTING VALVE VACUM PUMP-1 &amp; 2</t>
  </si>
  <si>
    <t>AV-062</t>
  </si>
  <si>
    <t>AV-063</t>
  </si>
  <si>
    <t>10MAL10AA210</t>
  </si>
  <si>
    <t>AV-064</t>
  </si>
  <si>
    <t>DRAIN OF CV CHAMBER 10MAL10AA210</t>
  </si>
  <si>
    <t>AV-065</t>
  </si>
  <si>
    <t>10MAL30AA210</t>
  </si>
  <si>
    <t>AV-066</t>
  </si>
  <si>
    <t>10MAL40AA210</t>
  </si>
  <si>
    <t>AV-067</t>
  </si>
  <si>
    <t>10MAL50AA210</t>
  </si>
  <si>
    <t>AV-068</t>
  </si>
  <si>
    <t>10MAL60AA210</t>
  </si>
  <si>
    <t>AV-069</t>
  </si>
  <si>
    <t>10MAL70AA210</t>
  </si>
  <si>
    <t>AV-070</t>
  </si>
  <si>
    <t>AV-071</t>
  </si>
  <si>
    <t>AV-072</t>
  </si>
  <si>
    <t>MOV TURBINE STEAM EXTRACTION-1 &amp; 2</t>
  </si>
  <si>
    <t>AV-073</t>
  </si>
  <si>
    <t>ACTUATOR MOV TURBINE STOP VALVE</t>
  </si>
  <si>
    <t>AV-074</t>
  </si>
  <si>
    <t>AV-075</t>
  </si>
  <si>
    <t>AV-076</t>
  </si>
  <si>
    <t>ACTUATOR ON/OFF NRV STEAM EXTRACTION 1, 2, 3</t>
  </si>
  <si>
    <t>AV-077</t>
  </si>
  <si>
    <t>ACTUATOR ON/OFF VALVE CEP-1 &amp; CEP-2</t>
  </si>
  <si>
    <t>AV-078</t>
  </si>
  <si>
    <t>SUB</t>
  </si>
  <si>
    <t>ACTUATOR SUB BURNER 1 VALVE 10HJN11AA003</t>
  </si>
  <si>
    <t>10HJN11AA003</t>
  </si>
  <si>
    <t>AV-079</t>
  </si>
  <si>
    <t>ACTUATOR SUB BURNER 2 VALVE 10HJN12AA003</t>
  </si>
  <si>
    <t>10HJN12AA003</t>
  </si>
  <si>
    <t>AV-080</t>
  </si>
  <si>
    <t>AV-081</t>
  </si>
  <si>
    <t>AV-082</t>
  </si>
  <si>
    <t>AV-083</t>
  </si>
  <si>
    <t>AV-084</t>
  </si>
  <si>
    <t>AV-085</t>
  </si>
  <si>
    <t>AV-086</t>
  </si>
  <si>
    <t>AV-087</t>
  </si>
  <si>
    <t>AV-088</t>
  </si>
  <si>
    <t>AV-089</t>
  </si>
  <si>
    <t>AV-090</t>
  </si>
  <si>
    <t>AV-091</t>
  </si>
  <si>
    <t>ACTUATOR MOV INLET ECONOMIZER</t>
  </si>
  <si>
    <t>AV-092</t>
  </si>
  <si>
    <t>ACTUATOR MOV RECIRCULATION ECONOMIZER</t>
  </si>
  <si>
    <t>Equipment</t>
  </si>
  <si>
    <t>Range</t>
  </si>
  <si>
    <t>Status_WDONE_TRUE_FALSE</t>
  </si>
  <si>
    <t>INLET ID FAN 2</t>
  </si>
  <si>
    <t>10HNA62CP001</t>
  </si>
  <si>
    <t>-70 - 70 mbar</t>
  </si>
  <si>
    <t>INLET ID FAN 1</t>
  </si>
  <si>
    <t>10HNA61CP001</t>
  </si>
  <si>
    <t>INLET PRESSURE ESP</t>
  </si>
  <si>
    <t>10HNA41CP001</t>
  </si>
  <si>
    <t>OUTLET PRESSURE ESP</t>
  </si>
  <si>
    <t>10HNA41CP002</t>
  </si>
  <si>
    <t>AIR SUB1 FLOW DP</t>
  </si>
  <si>
    <t>10HJL10CF010</t>
  </si>
  <si>
    <t>0-130mmH2O</t>
  </si>
  <si>
    <t>P.A APH OUTLET FLOW DP</t>
  </si>
  <si>
    <t>10HLA15CF001</t>
  </si>
  <si>
    <t>0-130 mmH2O</t>
  </si>
  <si>
    <t>10HLA15CF002</t>
  </si>
  <si>
    <t>0.0-130.0 mmH2O</t>
  </si>
  <si>
    <t>P.A APH OUTLET PRESSURE</t>
  </si>
  <si>
    <t>10HLA15CP001</t>
  </si>
  <si>
    <t>0.0-350.0 mbar</t>
  </si>
  <si>
    <t>ATOM AIR PRESSURE AFTER SUB 1</t>
  </si>
  <si>
    <t>10HJN11CP001</t>
  </si>
  <si>
    <t>0,7 - 14 Bar</t>
  </si>
  <si>
    <t>ATOM AIR PRESSURE AFTER SUB 2</t>
  </si>
  <si>
    <t>10HJN12CP001</t>
  </si>
  <si>
    <t>0-14 Bar</t>
  </si>
  <si>
    <t>LDO PRESS AFTER SUB2 FCV</t>
  </si>
  <si>
    <t>10HJF12CP001</t>
  </si>
  <si>
    <t>0-20 bar</t>
  </si>
  <si>
    <t>SEALPOT BLOWER PRESS OUTLET</t>
  </si>
  <si>
    <t>10HLB41CP001</t>
  </si>
  <si>
    <t>0-1 bar</t>
  </si>
  <si>
    <t>P&amp;S BLOWER PRESS OUTLET</t>
  </si>
  <si>
    <t>10QEB10CP001</t>
  </si>
  <si>
    <t>0-1500 mbar</t>
  </si>
  <si>
    <t>LDO PRESS AFTER SUB1 FVC</t>
  </si>
  <si>
    <t>10HJF11CP001</t>
  </si>
  <si>
    <t>AIR SUB2 FLOW DP</t>
  </si>
  <si>
    <t>10HJL11CF010</t>
  </si>
  <si>
    <t>0-130 mmH20</t>
  </si>
  <si>
    <t>COMBUSTOR LOWER PRESSURE</t>
  </si>
  <si>
    <t>10HHC01CP001</t>
  </si>
  <si>
    <t>0.0 - 350 mbar</t>
  </si>
  <si>
    <t>AIR COMBUSTOR AT LEVEL PRES</t>
  </si>
  <si>
    <t>10HHC01CP060</t>
  </si>
  <si>
    <t>0 - 100 mbar</t>
  </si>
  <si>
    <t>PA FAN 1 OUTLET PRESSURE</t>
  </si>
  <si>
    <t>10HLB03CP001</t>
  </si>
  <si>
    <t>0-350 mbar</t>
  </si>
  <si>
    <t>PA FAN 2 OUTLET PRESSURE</t>
  </si>
  <si>
    <t>10HLB04CP001</t>
  </si>
  <si>
    <t>SA FAN 1 OUTLET PRESSURE</t>
  </si>
  <si>
    <t>10HLB01CP001</t>
  </si>
  <si>
    <t>0-250 mbar</t>
  </si>
  <si>
    <t>SA FAN 2 OUTLET PRESSURE</t>
  </si>
  <si>
    <t>10HLB02CP001</t>
  </si>
  <si>
    <t>MAIN STEAM FLOW</t>
  </si>
  <si>
    <t>10LBA10CF001</t>
  </si>
  <si>
    <t>0-12500 mmH20</t>
  </si>
  <si>
    <t>10LBA10CF002</t>
  </si>
  <si>
    <t>INLET FEEDWATER FLOW</t>
  </si>
  <si>
    <t>10HAC90CF001</t>
  </si>
  <si>
    <t>0-5000 mmH20</t>
  </si>
  <si>
    <t>10HAC90CF002</t>
  </si>
  <si>
    <t>DISTRIBUTOR LINE TO FEEDWATER</t>
  </si>
  <si>
    <t>10LAB30CP001</t>
  </si>
  <si>
    <t>0-180 bar</t>
  </si>
  <si>
    <t>SA APH OUTLET FLOW</t>
  </si>
  <si>
    <t>10HLA25CF001</t>
  </si>
  <si>
    <t>10HLA25CF002</t>
  </si>
  <si>
    <t>0 - 130 mmH20</t>
  </si>
  <si>
    <t>SA APH OUTLET PRESSURE</t>
  </si>
  <si>
    <t>10HLA25CP001</t>
  </si>
  <si>
    <t>CYCLONE TO SEALPOT PRESSURE</t>
  </si>
  <si>
    <t>10HDF01CP001</t>
  </si>
  <si>
    <t>-39.00 - 196.00 mbar</t>
  </si>
  <si>
    <t>DESH 1 SPRAY WATER FLOW</t>
  </si>
  <si>
    <t>10LAE10CF001</t>
  </si>
  <si>
    <t>0.0 - 6700.0 mmH20</t>
  </si>
  <si>
    <t>BACKPASS PRESSURE AFTER ECO</t>
  </si>
  <si>
    <t>10HBK01CP050</t>
  </si>
  <si>
    <t>INLET FEEDWATER PRESSURE</t>
  </si>
  <si>
    <t>10HAC90CP001</t>
  </si>
  <si>
    <t>0.00 - 160.00 bar</t>
  </si>
  <si>
    <t>COMBUSTOR DP WITH GRATE</t>
  </si>
  <si>
    <t>10HHC01CP011</t>
  </si>
  <si>
    <t>0 -250 mbar</t>
  </si>
  <si>
    <t>COMBUSTOR UPPER DP</t>
  </si>
  <si>
    <t>10HHC01CP012</t>
  </si>
  <si>
    <t>-10 - 60 mbar</t>
  </si>
  <si>
    <t>BACKPASS PRESSURE AFTER LT SH</t>
  </si>
  <si>
    <t>10HBK01CP030</t>
  </si>
  <si>
    <t>DRUM LEVEL</t>
  </si>
  <si>
    <t>10HAD10CL001</t>
  </si>
  <si>
    <t>-910 - 0 mmH20</t>
  </si>
  <si>
    <t>10HAD10CL002</t>
  </si>
  <si>
    <t>10HAD10CL003</t>
  </si>
  <si>
    <t>SOOT BLOWER STEAM OUTLET</t>
  </si>
  <si>
    <t>10HCB10CP001</t>
  </si>
  <si>
    <t>0 - 40 bar</t>
  </si>
  <si>
    <t>SOOT BLOWER STEAM FLOW</t>
  </si>
  <si>
    <t>10HCB10CF001</t>
  </si>
  <si>
    <t>30 - 35000 mmH20</t>
  </si>
  <si>
    <t>DESH 2 SPRAY WATER FLOW</t>
  </si>
  <si>
    <t>10LAE30CF001</t>
  </si>
  <si>
    <t>16 - 6716 mmH20</t>
  </si>
  <si>
    <t>DRUM PRESSURE</t>
  </si>
  <si>
    <t>10HAD10CP002</t>
  </si>
  <si>
    <t>0 - 160 Bar</t>
  </si>
  <si>
    <t>10HAD10CP003</t>
  </si>
  <si>
    <t>10HAD10CP001</t>
  </si>
  <si>
    <t>MAIN STEAM LIVE PRESSURE</t>
  </si>
  <si>
    <t>10LAB10CP001</t>
  </si>
  <si>
    <t>10LAB10CP002</t>
  </si>
  <si>
    <t>10LAB10CP003</t>
  </si>
  <si>
    <t>INLET BACKPASS PRESSURE</t>
  </si>
  <si>
    <t>10HBK01CP003</t>
  </si>
  <si>
    <t>10HBK01CP002</t>
  </si>
  <si>
    <t>10HBK01CP001</t>
  </si>
  <si>
    <t>DEAERATOR PRDS TO OUTLET EXTRACTION</t>
  </si>
  <si>
    <t>10LBD11CP001</t>
  </si>
  <si>
    <t>0 - 10 Bar</t>
  </si>
  <si>
    <t>DEAERATOR PRDS TO OUTLET EXTRACTION II</t>
  </si>
  <si>
    <t>10LBD11CP002</t>
  </si>
  <si>
    <t>FEEDWATER STORAGE TANK PRESSURE</t>
  </si>
  <si>
    <t>10LAA10CP001</t>
  </si>
  <si>
    <t>LP HEATER 2</t>
  </si>
  <si>
    <t>10LCC40CL001</t>
  </si>
  <si>
    <t>-500 - 0 mmH20</t>
  </si>
  <si>
    <t>10LCC40CL002</t>
  </si>
  <si>
    <t>CYCLE MAKE UP PUMP DEAERATOR</t>
  </si>
  <si>
    <t>10HGC10CF001</t>
  </si>
  <si>
    <t>0 - 100 Kpa</t>
  </si>
  <si>
    <t>DEAERATOR TANK LEVEL 1</t>
  </si>
  <si>
    <t>10LAA10CL001</t>
  </si>
  <si>
    <t>-1750 - 0 mmH20</t>
  </si>
  <si>
    <t>DEAERATOR TANK LEVEL 2</t>
  </si>
  <si>
    <t>10LAA10CL002</t>
  </si>
  <si>
    <t>DEAERATOR TANK LEVEL 3</t>
  </si>
  <si>
    <t>10LAA10CL003</t>
  </si>
  <si>
    <t>TURBINE EXTRACTION III TO DEAERATOR PRESSURE</t>
  </si>
  <si>
    <t>10LBD10CP001</t>
  </si>
  <si>
    <t>TURBINE EXTRACTION III TO LPH PRESSURE</t>
  </si>
  <si>
    <t>10LBD30CP001</t>
  </si>
  <si>
    <t>0 - 4 Bar</t>
  </si>
  <si>
    <t>LIVE STEAM PRESSURE TO BYPASS</t>
  </si>
  <si>
    <t>10LBF10CP001</t>
  </si>
  <si>
    <t>TURBINE EXTRACTION 1 TO PNEUMATIC OPERATED VALVE</t>
  </si>
  <si>
    <t>10LBS10CP001</t>
  </si>
  <si>
    <t>0 - 1 Bar</t>
  </si>
  <si>
    <t>PRESSURE CONDENSATE PUMP TO DELIVERY</t>
  </si>
  <si>
    <t>10LCA30CP001</t>
  </si>
  <si>
    <t>0 - 25 Bar</t>
  </si>
  <si>
    <t>CONDENSATE TO LP HEATER</t>
  </si>
  <si>
    <t>10LCA40CF001</t>
  </si>
  <si>
    <t>0 - 2500 mmH20</t>
  </si>
  <si>
    <t>CONDENSATE PRESSURE TO BYPASS SPRAY</t>
  </si>
  <si>
    <t>10LCE40CP001</t>
  </si>
  <si>
    <t>0 -25 Bar</t>
  </si>
  <si>
    <t>10LCE40CP002</t>
  </si>
  <si>
    <t>10LCE40CP003</t>
  </si>
  <si>
    <t>PRESSURE BEHIND TURBINE CONTROL</t>
  </si>
  <si>
    <t>10MAA10CP001</t>
  </si>
  <si>
    <t>-1 - 99 Bar</t>
  </si>
  <si>
    <t>TURBINE EXHAUST PRESSURE</t>
  </si>
  <si>
    <t>10MAA10CP002</t>
  </si>
  <si>
    <t>-1 - 0.6 Bar</t>
  </si>
  <si>
    <t>10MAA10CP003</t>
  </si>
  <si>
    <t>10MAA10CP004</t>
  </si>
  <si>
    <t>PRESSURE BEHIND TURBINE CONTROL STAGE</t>
  </si>
  <si>
    <t>10MAA10CP005</t>
  </si>
  <si>
    <t>BYPASS PRESSURE</t>
  </si>
  <si>
    <t>10MAG10CP001</t>
  </si>
  <si>
    <t>-1 - 3 Bar</t>
  </si>
  <si>
    <t>LUBRICATION OIL PRESSURE</t>
  </si>
  <si>
    <t>10MAV40CP001</t>
  </si>
  <si>
    <t>10MAV40CP002</t>
  </si>
  <si>
    <t>10MAV40CP003</t>
  </si>
  <si>
    <t>GLAND STEAM PRESSURE</t>
  </si>
  <si>
    <t>10MAW11CP001</t>
  </si>
  <si>
    <t>0 - 0.25 Bar</t>
  </si>
  <si>
    <t>CONTROL OIL PRESSURE</t>
  </si>
  <si>
    <t>10MAX40CP001</t>
  </si>
  <si>
    <t>0 - 16 Bar</t>
  </si>
  <si>
    <t>VALVE POSITION BLOCK LIVE STEAM</t>
  </si>
  <si>
    <t>10MAX45CP001</t>
  </si>
  <si>
    <t>10MAX45CP002</t>
  </si>
  <si>
    <t>10MAX45CP003</t>
  </si>
  <si>
    <t>1 - 16 Bar</t>
  </si>
  <si>
    <t>LIVE STEAM PRESSURE</t>
  </si>
  <si>
    <t>10LBA10CP001</t>
  </si>
  <si>
    <t>FLOW CONDESATE TO LP HEATER 1</t>
  </si>
  <si>
    <t>LP HEATER 1</t>
  </si>
  <si>
    <t>10LCC30CL001</t>
  </si>
  <si>
    <t>10LCC30CL002</t>
  </si>
  <si>
    <t>VALVE BLOCK, OUTLET POSITION LIVE STEAM</t>
  </si>
  <si>
    <t>10MAX45CP004</t>
  </si>
  <si>
    <t>0-16 Bar</t>
  </si>
  <si>
    <t>TEMPERATURE AFTER DESH 2</t>
  </si>
  <si>
    <t>10HAH46CT001</t>
  </si>
  <si>
    <t>0-600 °C</t>
  </si>
  <si>
    <t>TEMPERATURE BEFORE DESH 2</t>
  </si>
  <si>
    <t>10HAH36CT009</t>
  </si>
  <si>
    <t>10HAH36CT0010</t>
  </si>
  <si>
    <t>TEMPERATURE AFTER DESH 1</t>
  </si>
  <si>
    <t>10HAH46CT010</t>
  </si>
  <si>
    <t>CYCLONE OUTLET TEMPERATURE</t>
  </si>
  <si>
    <t>10HNA11CT001</t>
  </si>
  <si>
    <t>0-1200 °C</t>
  </si>
  <si>
    <t>10HNA11CT002</t>
  </si>
  <si>
    <t>10HNA11CT003</t>
  </si>
  <si>
    <t>COMBUSTOR MIDDLE TEMPERATURE</t>
  </si>
  <si>
    <t>10HHC01CT041</t>
  </si>
  <si>
    <t>10HHC01CT042</t>
  </si>
  <si>
    <t>10HHC01CT043</t>
  </si>
  <si>
    <t>INLET CYCLONE</t>
  </si>
  <si>
    <t>10HNA01CT001</t>
  </si>
  <si>
    <t>TEMPERATURE AFTER FINAL SH</t>
  </si>
  <si>
    <t>10LBA10CT001</t>
  </si>
  <si>
    <t>10LBA10CT003</t>
  </si>
  <si>
    <t>10LBA10CT002</t>
  </si>
  <si>
    <t>COMBUSTOR LOWER TEMPERATURE</t>
  </si>
  <si>
    <t>10HHC01CT011</t>
  </si>
  <si>
    <t>10HHC01CT012</t>
  </si>
  <si>
    <t>10HHC01CT013</t>
  </si>
  <si>
    <t>FEEDWATER STORAGE TANK</t>
  </si>
  <si>
    <t>10LAA10CT001</t>
  </si>
  <si>
    <t>0-150 °C</t>
  </si>
  <si>
    <t>LPH II - TUBE SIDE OUTLET TO DEAERATOR TEMP</t>
  </si>
  <si>
    <t>10LCC10CT001</t>
  </si>
  <si>
    <t>COOLING WATER SUPPLY TEMP</t>
  </si>
  <si>
    <t>10PAB11CT001</t>
  </si>
  <si>
    <t>0-60 °C</t>
  </si>
  <si>
    <t>10PAB12CT001</t>
  </si>
  <si>
    <t>COOLING WATER RETURN TEMP</t>
  </si>
  <si>
    <t>10PAB21CT001</t>
  </si>
  <si>
    <t>10PAB22CT001</t>
  </si>
  <si>
    <t>VALVE CHEST TEMPERATURE</t>
  </si>
  <si>
    <t>10MAA10CT011</t>
  </si>
  <si>
    <t>TURBINE CASING TEMPERATURE - INSIDE</t>
  </si>
  <si>
    <t>10MAA10CT012</t>
  </si>
  <si>
    <t>TURBINE CASING TEMPERATURE - CENTER</t>
  </si>
  <si>
    <t>10MAA10CT013</t>
  </si>
  <si>
    <t>DEAERATOR PRDS OUTLET TO EXTRACTION I - DEAERATOR I/L TEMP</t>
  </si>
  <si>
    <t>10LBD11CT002</t>
  </si>
  <si>
    <t>0-300 °C</t>
  </si>
  <si>
    <t>10LBD11CT001</t>
  </si>
  <si>
    <t>HP BYPASS  TEMP</t>
  </si>
  <si>
    <t>10LBF10CT001</t>
  </si>
  <si>
    <t>0-600</t>
  </si>
  <si>
    <t>TURBINE EXTRACTION II TO LPH2 TEMP</t>
  </si>
  <si>
    <t>10LBD30CT001</t>
  </si>
  <si>
    <t>TURBINE EXTRACTION III TO DEAERATOR TEMP</t>
  </si>
  <si>
    <t>10LBD10CT001</t>
  </si>
  <si>
    <t>TURBINE EXTRACTION I TO LPH1 TEMP</t>
  </si>
  <si>
    <t>10LBS10CT001</t>
  </si>
  <si>
    <t>Description</t>
  </si>
  <si>
    <t>Sub_Area</t>
  </si>
  <si>
    <t>Set_Point</t>
  </si>
  <si>
    <t>Contact_Type_NO_NC</t>
  </si>
  <si>
    <t>AsFound_Set</t>
  </si>
  <si>
    <t>AsFound_Reset</t>
  </si>
  <si>
    <t>AsLeft_Set</t>
  </si>
  <si>
    <t>AsLeft_Reset</t>
  </si>
  <si>
    <t>Status_OK_NotOK</t>
  </si>
  <si>
    <t>Dated</t>
  </si>
  <si>
    <t>LDO PRESSURE BEFORE MTV</t>
  </si>
  <si>
    <t>10HJF11CP301</t>
  </si>
  <si>
    <t>SUB 1</t>
  </si>
  <si>
    <t>8 Bar</t>
  </si>
  <si>
    <t>NO</t>
  </si>
  <si>
    <t>ATOM AIR INKET PRESSURE LOW</t>
  </si>
  <si>
    <t>10HJN11CP301</t>
  </si>
  <si>
    <t>5.0 Kg/Cm2</t>
  </si>
  <si>
    <t>LDO PRESSURE LOW TRIP FOR SUB 1</t>
  </si>
  <si>
    <t>10HJF11CP302</t>
  </si>
  <si>
    <t>2.5 Kg/Cm2</t>
  </si>
  <si>
    <t>NC</t>
  </si>
  <si>
    <t>ATOM AIR PRESSURE LOW TRIP FOR SUB 1</t>
  </si>
  <si>
    <t>10HJN11CP302</t>
  </si>
  <si>
    <t>LDO PRESSURE HIGH TRIP FOR SUB 1</t>
  </si>
  <si>
    <t>10HJF11CP303</t>
  </si>
  <si>
    <t>13.0 Kg/Cm2</t>
  </si>
  <si>
    <t>LDO PRESSURE LOW TRIP FOR SUB 2</t>
  </si>
  <si>
    <t>10HJF12CP302</t>
  </si>
  <si>
    <t>SUB 2</t>
  </si>
  <si>
    <t>ATOM AIR PRESSURE LOW TRIP FOR SUB 2</t>
  </si>
  <si>
    <t>10HJN12CP302</t>
  </si>
  <si>
    <t>LDO PRESSURE HIGH TRIP FOR SUB 2</t>
  </si>
  <si>
    <t>10HJF12CP303</t>
  </si>
  <si>
    <t>LDO PRESSURE LOW TRIP FOR LANCES</t>
  </si>
  <si>
    <t>10HJF13CP302</t>
  </si>
  <si>
    <t>Lance Burner</t>
  </si>
  <si>
    <t>ATOM AIR PRESSURE LOW TRIP FOR LANCES</t>
  </si>
  <si>
    <t>10HJN13CP302</t>
  </si>
  <si>
    <t>LDO PRESSURE HIGH TRIP FOR LANCES</t>
  </si>
  <si>
    <t>10HJF13CP303</t>
  </si>
  <si>
    <t>LPG GAS PRESSURE BEFORE MTV</t>
  </si>
  <si>
    <t>10HJG89CP301</t>
  </si>
  <si>
    <t>1.5 Kg/Cm2</t>
  </si>
  <si>
    <t>SCANNER AIR PRESSURE OK 1</t>
  </si>
  <si>
    <t>10HJG69CP301</t>
  </si>
  <si>
    <t>0.6 Kg/Cm2</t>
  </si>
  <si>
    <t>SCANNER AIR PRESSURE OK 2</t>
  </si>
  <si>
    <t>10HJG69CP302</t>
  </si>
  <si>
    <t>LO HEADER PRESSURE LOW ALARM FOR PA FAN-1</t>
  </si>
  <si>
    <t>10HLB01CP104</t>
  </si>
  <si>
    <t>PA Fan 1</t>
  </si>
  <si>
    <t>0.4 Kg/Cm2</t>
  </si>
  <si>
    <t>PRESSURE SWITCH TO START PERMISSIVE FOR PA FAN-1 START</t>
  </si>
  <si>
    <t>10HLB01CP103</t>
  </si>
  <si>
    <t>0.8 Kg/Cm2</t>
  </si>
  <si>
    <t>PRESSURE SWITCH TO START LO PA FAN-1 STANDBY PUMP</t>
  </si>
  <si>
    <t>10HLB01CP102</t>
  </si>
  <si>
    <t>DP SWITCH ACRROS LO TANK FOR PA FAN-1</t>
  </si>
  <si>
    <t>10HLB01CP101</t>
  </si>
  <si>
    <t>0.5 Kg/Cm2</t>
  </si>
  <si>
    <t>LO HEADER PRESSURE LOW ALARM FOR PA FAN-2</t>
  </si>
  <si>
    <t>10HLB02CP104</t>
  </si>
  <si>
    <t>PA Fan 2</t>
  </si>
  <si>
    <t>PRESSURE SWITCH TO START PERMISSIVE FOR PA FAN-2 START</t>
  </si>
  <si>
    <t>10HLB02CP103</t>
  </si>
  <si>
    <t>PRESSURE SWITCH TO START LO PA FAN-2 STANDBY PUMP</t>
  </si>
  <si>
    <t>10HLB02CP102</t>
  </si>
  <si>
    <t>DP SWITCH ACRROS LO TANK FOR SA FAN-1</t>
  </si>
  <si>
    <t>10HLB02CP101</t>
  </si>
  <si>
    <t>LO HEADER PRESSURE LOW ALARM FOR SA FAN-1</t>
  </si>
  <si>
    <t>10HLB05CP104</t>
  </si>
  <si>
    <t>SA Fan 1</t>
  </si>
  <si>
    <t>PRESSURE SWITCH TO START PERMISSIVE FOR SA FAN-1 START</t>
  </si>
  <si>
    <t>10HLB05CP103</t>
  </si>
  <si>
    <t>PRESSURE SWITCH TO START LO SA FAN-1 STANDBY PUMP</t>
  </si>
  <si>
    <t>10HLB05CP102</t>
  </si>
  <si>
    <t>10HLB05CP101</t>
  </si>
  <si>
    <t>LO HEADER PRESSURE LOW ALARM FOR SA FAN-2</t>
  </si>
  <si>
    <t>10HLB06CP104</t>
  </si>
  <si>
    <t>SA Fan 2</t>
  </si>
  <si>
    <t>PRESSURE SWITCH TO START PERMISSIVE FOR SA FAN-2 START</t>
  </si>
  <si>
    <t>10HLB06CP103</t>
  </si>
  <si>
    <t>PRESSURE SWITCH TO START LO SA  FAN-2 STANDBY PUMP</t>
  </si>
  <si>
    <t>10HLB06CP102</t>
  </si>
  <si>
    <t>DP SWITCH ACRROS LO TANK FOR SA FAN-2</t>
  </si>
  <si>
    <t>10HLB06CP101</t>
  </si>
  <si>
    <t>DP SWITCH BFP 1</t>
  </si>
  <si>
    <t>10LAC10CP101</t>
  </si>
  <si>
    <t>BFP 1</t>
  </si>
  <si>
    <t>0.5 Bar</t>
  </si>
  <si>
    <t>DP SWITCH BFP 2</t>
  </si>
  <si>
    <t>10LAC30CP101</t>
  </si>
  <si>
    <t>BFP 2</t>
  </si>
  <si>
    <t>ERV PRESSURE SWITCH</t>
  </si>
  <si>
    <t>10LBA10CP502</t>
  </si>
  <si>
    <t>ERV</t>
  </si>
  <si>
    <t>93 Bar</t>
  </si>
  <si>
    <t>Boiler</t>
  </si>
  <si>
    <t>BOP</t>
  </si>
  <si>
    <t xml:space="preserve">ESP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</si>
</sst>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808080"/>
      <name val="Arial"/>
      <charset val="1"/>
    </font>
    <font>
      <b/>
      <sz val="11"/>
      <color rgb="FF1F4E78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0" borderId="0" xfId="0" applyFont="1"/>
    <xf numFmtId="0" fontId="5" fillId="0" borderId="0" xfId="0" applyFont="1"/>
    <xf numFmtId="0" fontId="7" fillId="0" borderId="0" xfId="0" applyFont="1"/>
    <xf numFmtId="0" fontId="4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8"/>
  <sheetViews>
    <sheetView showGridLines="0" tabSelected="1" zoomScaleNormal="100" workbookViewId="0">
      <selection activeCell="I11" sqref="I11"/>
    </sheetView>
  </sheetViews>
  <sheetFormatPr defaultColWidth="8.69140625" defaultRowHeight="14.6" x14ac:dyDescent="0.4"/>
  <cols>
    <col min="2" max="2" width="30" customWidth="1"/>
    <col min="3" max="7" width="16" customWidth="1"/>
  </cols>
  <sheetData>
    <row r="2" spans="2:7" ht="16.3" customHeight="1" x14ac:dyDescent="0.4">
      <c r="B2" s="1" t="s">
        <v>72</v>
      </c>
    </row>
    <row r="3" spans="2:7" x14ac:dyDescent="0.4">
      <c r="B3" s="2" t="s">
        <v>73</v>
      </c>
    </row>
    <row r="5" spans="2:7" x14ac:dyDescent="0.4">
      <c r="B5" s="3" t="s">
        <v>74</v>
      </c>
    </row>
    <row r="6" spans="2:7" x14ac:dyDescent="0.4">
      <c r="B6" s="4" t="s">
        <v>6</v>
      </c>
      <c r="C6" s="4" t="s">
        <v>75</v>
      </c>
      <c r="D6" s="4" t="s">
        <v>76</v>
      </c>
      <c r="E6" s="4" t="s">
        <v>77</v>
      </c>
      <c r="F6" s="4" t="s">
        <v>78</v>
      </c>
      <c r="G6" s="4" t="s">
        <v>79</v>
      </c>
    </row>
    <row r="7" spans="2:7" x14ac:dyDescent="0.4">
      <c r="B7" s="5">
        <v>1</v>
      </c>
      <c r="C7" s="5">
        <f>COUNTIFS(WorkOrder!$C:$C,1,WorkOrder!$I:$I,"SCHED-OK")</f>
        <v>25</v>
      </c>
      <c r="D7" s="5">
        <f>COUNTIFS(WorkOrder!$C:$C,1,WorkOrder!$I:$I,"IN PROGRESS")</f>
        <v>36</v>
      </c>
      <c r="E7" s="5">
        <f>COUNTIFS(WorkOrder!$C:$C,1,WorkOrder!$I:$I,"FINISH")</f>
        <v>3</v>
      </c>
      <c r="F7" s="5">
        <f>SUM(C7:E7)</f>
        <v>64</v>
      </c>
      <c r="G7" s="6">
        <f>IFERROR(E7/F7,0)</f>
        <v>4.6875E-2</v>
      </c>
    </row>
    <row r="10" spans="2:7" x14ac:dyDescent="0.4">
      <c r="B10" s="3" t="s">
        <v>80</v>
      </c>
    </row>
    <row r="11" spans="2:7" x14ac:dyDescent="0.4">
      <c r="B11" s="4" t="s">
        <v>6</v>
      </c>
      <c r="C11" s="4" t="s">
        <v>75</v>
      </c>
      <c r="D11" s="4" t="s">
        <v>76</v>
      </c>
      <c r="E11" s="4" t="s">
        <v>77</v>
      </c>
      <c r="F11" s="4" t="s">
        <v>78</v>
      </c>
      <c r="G11" s="4" t="s">
        <v>79</v>
      </c>
    </row>
    <row r="12" spans="2:7" x14ac:dyDescent="0.4">
      <c r="B12" s="5">
        <v>1</v>
      </c>
      <c r="C12" s="5">
        <f>COUNTIFS(ActuatorValve!$E:$E,1,ActuatorValve!$G:$G,"SCHED-OK")</f>
        <v>55</v>
      </c>
      <c r="D12" s="5">
        <f>COUNTIFS(ActuatorValve!$E:$E,1,ActuatorValve!$G:$G,"IN PROGRESS")</f>
        <v>30</v>
      </c>
      <c r="E12" s="5">
        <f>COUNTIFS(ActuatorValve!$E:$E,1,ActuatorValve!$G:$G,"FINISH")</f>
        <v>7</v>
      </c>
      <c r="F12" s="5">
        <f>SUM(C12:E12)</f>
        <v>92</v>
      </c>
      <c r="G12" s="6">
        <f>IFERROR(E12/F12,0)</f>
        <v>7.6086956521739135E-2</v>
      </c>
    </row>
    <row r="15" spans="2:7" x14ac:dyDescent="0.4">
      <c r="B15" s="3" t="s">
        <v>81</v>
      </c>
    </row>
    <row r="16" spans="2:7" ht="25.75" customHeight="1" x14ac:dyDescent="0.4">
      <c r="B16" s="4" t="s">
        <v>6</v>
      </c>
      <c r="C16" s="4" t="s">
        <v>82</v>
      </c>
      <c r="D16" s="4" t="s">
        <v>83</v>
      </c>
      <c r="E16" s="4" t="s">
        <v>78</v>
      </c>
    </row>
    <row r="17" spans="2:5" x14ac:dyDescent="0.4">
      <c r="B17" s="5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>9</v>
      </c>
      <c r="D17" s="5">
        <f>E17-C17</f>
        <v>144</v>
      </c>
      <c r="E17" s="5">
        <f>COUNTIF(Instrument_PressureTX!$E:$E,1)+COUNTIF(Instrument_TemperatureTX!$E:$E,1)+COUNTIF(Instrument_PressureSwitch!$E:$E,1)</f>
        <v>153</v>
      </c>
    </row>
    <row r="21" spans="2:5" x14ac:dyDescent="0.4">
      <c r="B21" s="3" t="s">
        <v>84</v>
      </c>
    </row>
    <row r="22" spans="2:5" ht="38.15" customHeight="1" x14ac:dyDescent="0.4">
      <c r="B22" s="4" t="s">
        <v>85</v>
      </c>
      <c r="C22" s="4" t="s">
        <v>86</v>
      </c>
    </row>
    <row r="23" spans="2:5" x14ac:dyDescent="0.4">
      <c r="B23" s="5" t="s">
        <v>87</v>
      </c>
      <c r="C23" s="5">
        <f>COUNTIF(WorkOrder!$O2:$O1048576,"?*")</f>
        <v>0</v>
      </c>
    </row>
    <row r="24" spans="2:5" x14ac:dyDescent="0.4">
      <c r="B24" s="5" t="s">
        <v>88</v>
      </c>
      <c r="C24" s="5">
        <f>COUNTIF(WorkOrder_Checklist!$F2:$F1048576,"?*")</f>
        <v>0</v>
      </c>
    </row>
    <row r="25" spans="2:5" x14ac:dyDescent="0.4">
      <c r="B25" s="5" t="s">
        <v>89</v>
      </c>
      <c r="C25" s="5">
        <f>COUNTIF(ActuatorValve!$M2:$M1048576,"?*")</f>
        <v>0</v>
      </c>
    </row>
    <row r="26" spans="2:5" x14ac:dyDescent="0.4">
      <c r="B26" s="5" t="s">
        <v>90</v>
      </c>
      <c r="C26" s="5">
        <f>COUNTIF(Instrument_PressureTX!$J2:$J1048576,"?*")</f>
        <v>0</v>
      </c>
    </row>
    <row r="27" spans="2:5" x14ac:dyDescent="0.4">
      <c r="B27" s="5" t="s">
        <v>91</v>
      </c>
      <c r="C27" s="5">
        <f>COUNTIF(Instrument_TemperatureTX!$J2:$J1048576,"?*")</f>
        <v>0</v>
      </c>
    </row>
    <row r="28" spans="2:5" x14ac:dyDescent="0.4">
      <c r="B28" s="5" t="s">
        <v>92</v>
      </c>
      <c r="C28" s="5">
        <f>COUNTIF(Instrument_PressureSwitch!$R2:$R1048576,"?*")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B30"/>
  <sheetViews>
    <sheetView showGridLines="0" zoomScaleNormal="100" workbookViewId="0"/>
  </sheetViews>
  <sheetFormatPr defaultColWidth="8.69140625" defaultRowHeight="14.6" x14ac:dyDescent="0.4"/>
  <cols>
    <col min="2" max="2" width="105" customWidth="1"/>
  </cols>
  <sheetData>
    <row r="2" spans="2:2" ht="16.3" customHeight="1" x14ac:dyDescent="0.4">
      <c r="B2" s="1" t="s">
        <v>93</v>
      </c>
    </row>
    <row r="4" spans="2:2" x14ac:dyDescent="0.4">
      <c r="B4" s="7" t="s">
        <v>94</v>
      </c>
    </row>
    <row r="6" spans="2:2" x14ac:dyDescent="0.4">
      <c r="B6" s="8"/>
    </row>
    <row r="7" spans="2:2" x14ac:dyDescent="0.4">
      <c r="B7" s="9" t="s">
        <v>95</v>
      </c>
    </row>
    <row r="8" spans="2:2" x14ac:dyDescent="0.4">
      <c r="B8" s="8" t="s">
        <v>96</v>
      </c>
    </row>
    <row r="9" spans="2:2" x14ac:dyDescent="0.4">
      <c r="B9" s="8" t="s">
        <v>97</v>
      </c>
    </row>
    <row r="10" spans="2:2" x14ac:dyDescent="0.4">
      <c r="B10" s="8" t="s">
        <v>98</v>
      </c>
    </row>
    <row r="11" spans="2:2" x14ac:dyDescent="0.4">
      <c r="B11" s="8" t="s">
        <v>99</v>
      </c>
    </row>
    <row r="12" spans="2:2" x14ac:dyDescent="0.4">
      <c r="B12" s="8" t="s">
        <v>100</v>
      </c>
    </row>
    <row r="13" spans="2:2" x14ac:dyDescent="0.4">
      <c r="B13" s="8" t="s">
        <v>101</v>
      </c>
    </row>
    <row r="14" spans="2:2" x14ac:dyDescent="0.4">
      <c r="B14" s="8" t="s">
        <v>102</v>
      </c>
    </row>
    <row r="15" spans="2:2" x14ac:dyDescent="0.4">
      <c r="B15" s="8" t="s">
        <v>103</v>
      </c>
    </row>
    <row r="16" spans="2:2" x14ac:dyDescent="0.4">
      <c r="B16" s="8" t="s">
        <v>104</v>
      </c>
    </row>
    <row r="17" spans="2:2" x14ac:dyDescent="0.4">
      <c r="B17" s="8" t="s">
        <v>105</v>
      </c>
    </row>
    <row r="18" spans="2:2" x14ac:dyDescent="0.4">
      <c r="B18" s="8" t="s">
        <v>106</v>
      </c>
    </row>
    <row r="19" spans="2:2" x14ac:dyDescent="0.4">
      <c r="B19" s="8" t="s">
        <v>107</v>
      </c>
    </row>
    <row r="20" spans="2:2" x14ac:dyDescent="0.4">
      <c r="B20" s="8" t="s">
        <v>108</v>
      </c>
    </row>
    <row r="21" spans="2:2" x14ac:dyDescent="0.4">
      <c r="B21" s="8"/>
    </row>
    <row r="22" spans="2:2" x14ac:dyDescent="0.4">
      <c r="B22" s="9" t="s">
        <v>109</v>
      </c>
    </row>
    <row r="23" spans="2:2" x14ac:dyDescent="0.4">
      <c r="B23" s="8" t="s">
        <v>110</v>
      </c>
    </row>
    <row r="24" spans="2:2" x14ac:dyDescent="0.4">
      <c r="B24" s="8" t="s">
        <v>111</v>
      </c>
    </row>
    <row r="25" spans="2:2" x14ac:dyDescent="0.4">
      <c r="B25" s="8" t="s">
        <v>112</v>
      </c>
    </row>
    <row r="26" spans="2:2" x14ac:dyDescent="0.4">
      <c r="B26" s="8" t="s">
        <v>113</v>
      </c>
    </row>
    <row r="27" spans="2:2" x14ac:dyDescent="0.4">
      <c r="B27" s="8" t="s">
        <v>114</v>
      </c>
    </row>
    <row r="28" spans="2:2" x14ac:dyDescent="0.4">
      <c r="B28" s="8" t="s">
        <v>115</v>
      </c>
    </row>
    <row r="29" spans="2:2" x14ac:dyDescent="0.4">
      <c r="B29" s="8" t="s">
        <v>116</v>
      </c>
    </row>
    <row r="30" spans="2:2" x14ac:dyDescent="0.4">
      <c r="B30" s="8" t="s">
        <v>117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5"/>
  <sheetViews>
    <sheetView zoomScaleNormal="100" workbookViewId="0">
      <pane ySplit="1" topLeftCell="A2" activePane="bottomLeft" state="frozen"/>
      <selection pane="bottomLeft"/>
    </sheetView>
  </sheetViews>
  <sheetFormatPr defaultColWidth="8.69140625" defaultRowHeight="14.6" x14ac:dyDescent="0.4"/>
  <cols>
    <col min="1" max="1" width="5" customWidth="1"/>
    <col min="2" max="2" width="16" customWidth="1"/>
    <col min="3" max="3" width="6" customWidth="1"/>
    <col min="4" max="4" width="40" customWidth="1"/>
    <col min="5" max="6" width="14" customWidth="1"/>
    <col min="7" max="7" width="16" customWidth="1"/>
    <col min="8" max="8" width="14" customWidth="1"/>
    <col min="9" max="10" width="12" customWidth="1"/>
    <col min="11" max="11" width="8" customWidth="1"/>
    <col min="12" max="12" width="12" customWidth="1"/>
    <col min="13" max="13" width="28" customWidth="1"/>
    <col min="14" max="14" width="20" customWidth="1"/>
    <col min="15" max="15" width="22" customWidth="1"/>
    <col min="16" max="16" width="26" customWidth="1"/>
    <col min="17" max="17" width="10" customWidth="1"/>
  </cols>
  <sheetData>
    <row r="1" spans="1:17" ht="24.9" customHeight="1" x14ac:dyDescent="0.4">
      <c r="A1" s="10" t="s">
        <v>118</v>
      </c>
      <c r="B1" s="10" t="s">
        <v>119</v>
      </c>
      <c r="C1" s="10" t="s">
        <v>6</v>
      </c>
      <c r="D1" s="10" t="s">
        <v>120</v>
      </c>
      <c r="E1" s="10" t="s">
        <v>121</v>
      </c>
      <c r="F1" s="10" t="s">
        <v>122</v>
      </c>
      <c r="G1" s="10" t="s">
        <v>123</v>
      </c>
      <c r="H1" s="10" t="s">
        <v>124</v>
      </c>
      <c r="I1" s="10" t="s">
        <v>125</v>
      </c>
      <c r="J1" s="10" t="s">
        <v>5</v>
      </c>
      <c r="K1" s="10" t="s">
        <v>126</v>
      </c>
      <c r="L1" s="10" t="s">
        <v>127</v>
      </c>
      <c r="M1" s="10" t="s">
        <v>128</v>
      </c>
      <c r="N1" s="10" t="s">
        <v>129</v>
      </c>
      <c r="O1" s="10" t="s">
        <v>130</v>
      </c>
      <c r="P1" s="10" t="s">
        <v>131</v>
      </c>
      <c r="Q1" s="10" t="s">
        <v>132</v>
      </c>
    </row>
    <row r="2" spans="1:17" ht="24.9" customHeight="1" x14ac:dyDescent="0.4">
      <c r="A2">
        <v>1</v>
      </c>
      <c r="B2" t="s">
        <v>133</v>
      </c>
      <c r="C2">
        <v>1</v>
      </c>
      <c r="D2" t="s">
        <v>134</v>
      </c>
      <c r="E2" t="s">
        <v>135</v>
      </c>
      <c r="F2" t="s">
        <v>136</v>
      </c>
      <c r="G2" t="s">
        <v>136</v>
      </c>
      <c r="I2" t="s">
        <v>76</v>
      </c>
      <c r="J2" t="s">
        <v>28</v>
      </c>
      <c r="K2">
        <v>9</v>
      </c>
      <c r="L2">
        <v>88.9</v>
      </c>
      <c r="M2" t="s">
        <v>137</v>
      </c>
      <c r="Q2">
        <v>0</v>
      </c>
    </row>
    <row r="3" spans="1:17" ht="24.9" customHeight="1" x14ac:dyDescent="0.4">
      <c r="A3">
        <v>2</v>
      </c>
      <c r="B3" t="s">
        <v>138</v>
      </c>
      <c r="C3">
        <v>1</v>
      </c>
      <c r="D3" t="s">
        <v>139</v>
      </c>
      <c r="E3" t="s">
        <v>135</v>
      </c>
      <c r="F3" t="s">
        <v>136</v>
      </c>
      <c r="G3" t="s">
        <v>136</v>
      </c>
      <c r="I3" t="s">
        <v>76</v>
      </c>
      <c r="J3" t="s">
        <v>28</v>
      </c>
      <c r="K3">
        <v>9</v>
      </c>
      <c r="L3">
        <v>88.89</v>
      </c>
      <c r="M3" t="s">
        <v>137</v>
      </c>
      <c r="Q3">
        <v>0</v>
      </c>
    </row>
    <row r="4" spans="1:17" x14ac:dyDescent="0.4">
      <c r="A4">
        <v>3</v>
      </c>
      <c r="B4" t="s">
        <v>140</v>
      </c>
      <c r="C4">
        <v>1</v>
      </c>
      <c r="D4" t="s">
        <v>141</v>
      </c>
      <c r="E4" t="s">
        <v>142</v>
      </c>
      <c r="F4" t="s">
        <v>136</v>
      </c>
      <c r="G4" t="s">
        <v>136</v>
      </c>
      <c r="I4" t="s">
        <v>76</v>
      </c>
      <c r="J4" t="s">
        <v>28</v>
      </c>
      <c r="K4">
        <v>9</v>
      </c>
      <c r="L4">
        <v>77.78</v>
      </c>
      <c r="M4" t="s">
        <v>137</v>
      </c>
      <c r="Q4">
        <v>0</v>
      </c>
    </row>
    <row r="5" spans="1:17" x14ac:dyDescent="0.4">
      <c r="A5">
        <v>4</v>
      </c>
      <c r="B5" t="s">
        <v>143</v>
      </c>
      <c r="C5">
        <v>1</v>
      </c>
      <c r="D5" t="s">
        <v>144</v>
      </c>
      <c r="E5" t="s">
        <v>142</v>
      </c>
      <c r="F5" t="s">
        <v>136</v>
      </c>
      <c r="G5" t="s">
        <v>136</v>
      </c>
      <c r="I5" t="s">
        <v>76</v>
      </c>
      <c r="J5" t="s">
        <v>28</v>
      </c>
      <c r="K5">
        <v>9</v>
      </c>
      <c r="L5">
        <v>77.78</v>
      </c>
      <c r="M5" t="s">
        <v>137</v>
      </c>
      <c r="Q5">
        <v>0</v>
      </c>
    </row>
    <row r="6" spans="1:17" x14ac:dyDescent="0.4">
      <c r="A6">
        <v>5</v>
      </c>
      <c r="B6" t="s">
        <v>145</v>
      </c>
      <c r="C6">
        <v>1</v>
      </c>
      <c r="D6" t="s">
        <v>146</v>
      </c>
      <c r="E6" t="s">
        <v>142</v>
      </c>
      <c r="F6" t="s">
        <v>136</v>
      </c>
      <c r="G6" t="s">
        <v>136</v>
      </c>
      <c r="I6" t="s">
        <v>76</v>
      </c>
      <c r="J6" t="s">
        <v>28</v>
      </c>
      <c r="K6">
        <v>9</v>
      </c>
      <c r="L6">
        <v>55.56</v>
      </c>
      <c r="M6" t="s">
        <v>137</v>
      </c>
      <c r="Q6">
        <v>0</v>
      </c>
    </row>
    <row r="7" spans="1:17" x14ac:dyDescent="0.4">
      <c r="A7">
        <v>6</v>
      </c>
      <c r="B7" t="s">
        <v>147</v>
      </c>
      <c r="C7">
        <v>1</v>
      </c>
      <c r="D7" t="s">
        <v>148</v>
      </c>
      <c r="E7" t="s">
        <v>142</v>
      </c>
      <c r="F7" t="s">
        <v>136</v>
      </c>
      <c r="G7" t="s">
        <v>136</v>
      </c>
      <c r="I7" t="s">
        <v>76</v>
      </c>
      <c r="J7" t="s">
        <v>28</v>
      </c>
      <c r="K7">
        <v>9</v>
      </c>
      <c r="L7">
        <v>66.67</v>
      </c>
      <c r="M7" t="s">
        <v>137</v>
      </c>
      <c r="Q7">
        <v>0</v>
      </c>
    </row>
    <row r="8" spans="1:17" x14ac:dyDescent="0.4">
      <c r="A8">
        <v>7</v>
      </c>
      <c r="B8" t="s">
        <v>149</v>
      </c>
      <c r="C8">
        <v>1</v>
      </c>
      <c r="D8" t="s">
        <v>150</v>
      </c>
      <c r="E8" t="s">
        <v>151</v>
      </c>
      <c r="F8" t="s">
        <v>136</v>
      </c>
      <c r="G8" t="s">
        <v>136</v>
      </c>
      <c r="I8" t="s">
        <v>76</v>
      </c>
      <c r="J8" t="s">
        <v>53</v>
      </c>
      <c r="K8">
        <v>14</v>
      </c>
      <c r="L8">
        <v>50</v>
      </c>
      <c r="M8" t="s">
        <v>137</v>
      </c>
      <c r="Q8">
        <v>0</v>
      </c>
    </row>
    <row r="9" spans="1:17" x14ac:dyDescent="0.4">
      <c r="A9">
        <v>8</v>
      </c>
      <c r="B9" t="s">
        <v>152</v>
      </c>
      <c r="C9">
        <v>1</v>
      </c>
      <c r="D9" t="s">
        <v>153</v>
      </c>
      <c r="E9" t="s">
        <v>151</v>
      </c>
      <c r="F9" t="s">
        <v>136</v>
      </c>
      <c r="I9" t="s">
        <v>75</v>
      </c>
      <c r="J9" t="s">
        <v>53</v>
      </c>
      <c r="K9">
        <v>12</v>
      </c>
      <c r="L9">
        <v>0</v>
      </c>
      <c r="M9" t="s">
        <v>137</v>
      </c>
      <c r="Q9">
        <v>0</v>
      </c>
    </row>
    <row r="10" spans="1:17" x14ac:dyDescent="0.4">
      <c r="A10">
        <v>9</v>
      </c>
      <c r="B10" t="s">
        <v>154</v>
      </c>
      <c r="C10">
        <v>1</v>
      </c>
      <c r="D10" t="s">
        <v>155</v>
      </c>
      <c r="E10" t="s">
        <v>151</v>
      </c>
      <c r="F10" t="s">
        <v>136</v>
      </c>
      <c r="G10" t="s">
        <v>136</v>
      </c>
      <c r="I10" t="s">
        <v>76</v>
      </c>
      <c r="J10" t="s">
        <v>11</v>
      </c>
      <c r="K10">
        <v>10</v>
      </c>
      <c r="L10">
        <v>80</v>
      </c>
      <c r="M10" t="s">
        <v>137</v>
      </c>
      <c r="Q10">
        <v>0</v>
      </c>
    </row>
    <row r="11" spans="1:17" x14ac:dyDescent="0.4">
      <c r="A11">
        <v>10</v>
      </c>
      <c r="B11" t="s">
        <v>156</v>
      </c>
      <c r="C11">
        <v>1</v>
      </c>
      <c r="D11" t="s">
        <v>157</v>
      </c>
      <c r="E11" t="s">
        <v>151</v>
      </c>
      <c r="F11" t="s">
        <v>136</v>
      </c>
      <c r="G11" t="s">
        <v>136</v>
      </c>
      <c r="I11" t="s">
        <v>76</v>
      </c>
      <c r="J11" t="s">
        <v>28</v>
      </c>
      <c r="K11">
        <v>6</v>
      </c>
      <c r="L11">
        <v>66.67</v>
      </c>
      <c r="M11" t="s">
        <v>137</v>
      </c>
      <c r="Q11">
        <v>0</v>
      </c>
    </row>
    <row r="12" spans="1:17" x14ac:dyDescent="0.4">
      <c r="A12">
        <v>11</v>
      </c>
      <c r="B12" t="s">
        <v>158</v>
      </c>
      <c r="C12">
        <v>1</v>
      </c>
      <c r="D12" t="s">
        <v>159</v>
      </c>
      <c r="E12" t="s">
        <v>151</v>
      </c>
      <c r="F12" t="s">
        <v>136</v>
      </c>
      <c r="G12" t="s">
        <v>136</v>
      </c>
      <c r="I12" t="s">
        <v>76</v>
      </c>
      <c r="J12" t="s">
        <v>11</v>
      </c>
      <c r="K12">
        <v>10</v>
      </c>
      <c r="L12">
        <v>80</v>
      </c>
      <c r="M12" t="s">
        <v>137</v>
      </c>
      <c r="Q12">
        <v>0</v>
      </c>
    </row>
    <row r="13" spans="1:17" x14ac:dyDescent="0.4">
      <c r="A13">
        <v>12</v>
      </c>
      <c r="B13" t="s">
        <v>160</v>
      </c>
      <c r="C13">
        <v>1</v>
      </c>
      <c r="D13" t="s">
        <v>161</v>
      </c>
      <c r="E13" t="s">
        <v>151</v>
      </c>
      <c r="F13" t="s">
        <v>136</v>
      </c>
      <c r="G13" t="s">
        <v>136</v>
      </c>
      <c r="I13" t="s">
        <v>76</v>
      </c>
      <c r="J13" t="s">
        <v>28</v>
      </c>
      <c r="K13">
        <v>6</v>
      </c>
      <c r="L13">
        <v>83.33</v>
      </c>
      <c r="M13" t="s">
        <v>137</v>
      </c>
      <c r="Q13">
        <v>0</v>
      </c>
    </row>
    <row r="14" spans="1:17" x14ac:dyDescent="0.4">
      <c r="A14">
        <v>13</v>
      </c>
      <c r="B14" t="s">
        <v>162</v>
      </c>
      <c r="C14">
        <v>1</v>
      </c>
      <c r="D14" t="s">
        <v>163</v>
      </c>
      <c r="E14" t="s">
        <v>151</v>
      </c>
      <c r="F14" t="s">
        <v>136</v>
      </c>
      <c r="G14" t="s">
        <v>136</v>
      </c>
      <c r="I14" t="s">
        <v>76</v>
      </c>
      <c r="J14" t="s">
        <v>11</v>
      </c>
      <c r="K14">
        <v>10</v>
      </c>
      <c r="L14">
        <v>70</v>
      </c>
      <c r="M14" t="s">
        <v>137</v>
      </c>
      <c r="Q14">
        <v>0</v>
      </c>
    </row>
    <row r="15" spans="1:17" x14ac:dyDescent="0.4">
      <c r="A15">
        <v>14</v>
      </c>
      <c r="B15" t="s">
        <v>164</v>
      </c>
      <c r="C15">
        <v>1</v>
      </c>
      <c r="D15" t="s">
        <v>165</v>
      </c>
      <c r="E15" t="s">
        <v>151</v>
      </c>
      <c r="F15" t="s">
        <v>136</v>
      </c>
      <c r="I15" t="s">
        <v>75</v>
      </c>
      <c r="J15" t="s">
        <v>28</v>
      </c>
      <c r="K15">
        <v>7</v>
      </c>
      <c r="L15">
        <v>0</v>
      </c>
      <c r="M15" t="s">
        <v>137</v>
      </c>
      <c r="Q15">
        <v>0</v>
      </c>
    </row>
    <row r="16" spans="1:17" x14ac:dyDescent="0.4">
      <c r="A16">
        <v>15</v>
      </c>
      <c r="B16" t="s">
        <v>166</v>
      </c>
      <c r="C16">
        <v>1</v>
      </c>
      <c r="D16" t="s">
        <v>167</v>
      </c>
      <c r="E16" t="s">
        <v>151</v>
      </c>
      <c r="F16" t="s">
        <v>136</v>
      </c>
      <c r="G16" t="s">
        <v>136</v>
      </c>
      <c r="I16" t="s">
        <v>76</v>
      </c>
      <c r="J16" t="s">
        <v>11</v>
      </c>
      <c r="K16">
        <v>10</v>
      </c>
      <c r="L16">
        <v>70</v>
      </c>
      <c r="M16" t="s">
        <v>137</v>
      </c>
      <c r="Q16">
        <v>0</v>
      </c>
    </row>
    <row r="17" spans="1:17" x14ac:dyDescent="0.4">
      <c r="A17">
        <v>16</v>
      </c>
      <c r="B17" t="s">
        <v>168</v>
      </c>
      <c r="C17">
        <v>1</v>
      </c>
      <c r="D17" t="s">
        <v>169</v>
      </c>
      <c r="E17" t="s">
        <v>151</v>
      </c>
      <c r="F17" t="s">
        <v>136</v>
      </c>
      <c r="I17" t="s">
        <v>75</v>
      </c>
      <c r="J17" t="s">
        <v>46</v>
      </c>
      <c r="K17">
        <v>6</v>
      </c>
      <c r="L17">
        <v>0</v>
      </c>
      <c r="M17" t="s">
        <v>137</v>
      </c>
      <c r="Q17">
        <v>0</v>
      </c>
    </row>
    <row r="18" spans="1:17" x14ac:dyDescent="0.4">
      <c r="A18">
        <v>17</v>
      </c>
      <c r="B18" t="s">
        <v>170</v>
      </c>
      <c r="C18">
        <v>1</v>
      </c>
      <c r="D18" t="s">
        <v>171</v>
      </c>
      <c r="E18" t="s">
        <v>172</v>
      </c>
      <c r="F18" t="s">
        <v>136</v>
      </c>
      <c r="G18" t="s">
        <v>136</v>
      </c>
      <c r="I18" t="s">
        <v>76</v>
      </c>
      <c r="J18" t="s">
        <v>28</v>
      </c>
      <c r="K18">
        <v>13</v>
      </c>
      <c r="L18">
        <v>92.31</v>
      </c>
      <c r="M18" t="s">
        <v>137</v>
      </c>
      <c r="Q18">
        <v>0</v>
      </c>
    </row>
    <row r="19" spans="1:17" x14ac:dyDescent="0.4">
      <c r="A19">
        <v>18</v>
      </c>
      <c r="B19" t="s">
        <v>173</v>
      </c>
      <c r="C19">
        <v>1</v>
      </c>
      <c r="D19" t="s">
        <v>174</v>
      </c>
      <c r="E19" t="s">
        <v>172</v>
      </c>
      <c r="F19" t="s">
        <v>136</v>
      </c>
      <c r="G19" t="s">
        <v>136</v>
      </c>
      <c r="I19" t="s">
        <v>76</v>
      </c>
      <c r="J19" t="s">
        <v>28</v>
      </c>
      <c r="K19">
        <v>13</v>
      </c>
      <c r="L19">
        <v>92.31</v>
      </c>
      <c r="M19" t="s">
        <v>137</v>
      </c>
      <c r="Q19">
        <v>0</v>
      </c>
    </row>
    <row r="20" spans="1:17" x14ac:dyDescent="0.4">
      <c r="A20">
        <v>19</v>
      </c>
      <c r="B20" t="s">
        <v>175</v>
      </c>
      <c r="C20">
        <v>1</v>
      </c>
      <c r="D20" t="s">
        <v>176</v>
      </c>
      <c r="E20" t="s">
        <v>151</v>
      </c>
      <c r="F20" t="s">
        <v>136</v>
      </c>
      <c r="G20" t="s">
        <v>136</v>
      </c>
      <c r="I20" t="s">
        <v>76</v>
      </c>
      <c r="J20" t="s">
        <v>46</v>
      </c>
      <c r="K20">
        <v>18</v>
      </c>
      <c r="L20">
        <v>11.11</v>
      </c>
      <c r="M20" t="s">
        <v>137</v>
      </c>
      <c r="Q20">
        <v>0</v>
      </c>
    </row>
    <row r="21" spans="1:17" x14ac:dyDescent="0.4">
      <c r="A21">
        <v>20</v>
      </c>
      <c r="B21" t="s">
        <v>177</v>
      </c>
      <c r="C21">
        <v>1</v>
      </c>
      <c r="D21" t="s">
        <v>178</v>
      </c>
      <c r="E21" t="s">
        <v>151</v>
      </c>
      <c r="F21" t="s">
        <v>136</v>
      </c>
      <c r="I21" t="s">
        <v>76</v>
      </c>
      <c r="J21" t="s">
        <v>46</v>
      </c>
      <c r="K21">
        <v>13</v>
      </c>
      <c r="L21">
        <v>7.7</v>
      </c>
      <c r="M21" t="s">
        <v>137</v>
      </c>
      <c r="Q21">
        <v>0</v>
      </c>
    </row>
    <row r="22" spans="1:17" x14ac:dyDescent="0.4">
      <c r="A22">
        <v>21</v>
      </c>
      <c r="B22" t="s">
        <v>179</v>
      </c>
      <c r="C22">
        <v>1</v>
      </c>
      <c r="D22" t="s">
        <v>180</v>
      </c>
      <c r="E22" t="s">
        <v>151</v>
      </c>
      <c r="F22" t="s">
        <v>136</v>
      </c>
      <c r="G22" t="s">
        <v>136</v>
      </c>
      <c r="H22" t="s">
        <v>136</v>
      </c>
      <c r="I22" t="s">
        <v>77</v>
      </c>
      <c r="J22" t="s">
        <v>49</v>
      </c>
      <c r="K22">
        <v>9</v>
      </c>
      <c r="L22">
        <v>100</v>
      </c>
      <c r="M22" t="s">
        <v>137</v>
      </c>
      <c r="Q22">
        <v>0</v>
      </c>
    </row>
    <row r="23" spans="1:17" x14ac:dyDescent="0.4">
      <c r="A23">
        <v>22</v>
      </c>
      <c r="B23" t="s">
        <v>181</v>
      </c>
      <c r="C23">
        <v>1</v>
      </c>
      <c r="D23" t="s">
        <v>182</v>
      </c>
      <c r="E23" t="s">
        <v>151</v>
      </c>
      <c r="F23" t="s">
        <v>136</v>
      </c>
      <c r="G23" t="s">
        <v>136</v>
      </c>
      <c r="H23" t="s">
        <v>136</v>
      </c>
      <c r="I23" t="s">
        <v>77</v>
      </c>
      <c r="J23" t="s">
        <v>49</v>
      </c>
      <c r="K23">
        <v>7</v>
      </c>
      <c r="L23">
        <v>100</v>
      </c>
      <c r="M23" t="s">
        <v>137</v>
      </c>
      <c r="Q23">
        <v>0</v>
      </c>
    </row>
    <row r="24" spans="1:17" x14ac:dyDescent="0.4">
      <c r="A24">
        <v>23</v>
      </c>
      <c r="B24" t="s">
        <v>183</v>
      </c>
      <c r="C24">
        <v>1</v>
      </c>
      <c r="D24" t="s">
        <v>184</v>
      </c>
      <c r="E24" t="s">
        <v>185</v>
      </c>
      <c r="F24" t="s">
        <v>136</v>
      </c>
      <c r="G24" t="s">
        <v>136</v>
      </c>
      <c r="I24" t="s">
        <v>76</v>
      </c>
      <c r="J24" t="s">
        <v>17</v>
      </c>
      <c r="K24">
        <v>19</v>
      </c>
      <c r="L24">
        <v>26.32</v>
      </c>
      <c r="M24" t="s">
        <v>137</v>
      </c>
      <c r="Q24">
        <v>0</v>
      </c>
    </row>
    <row r="25" spans="1:17" x14ac:dyDescent="0.4">
      <c r="A25">
        <v>24</v>
      </c>
      <c r="B25" t="s">
        <v>186</v>
      </c>
      <c r="C25">
        <v>1</v>
      </c>
      <c r="D25" t="s">
        <v>187</v>
      </c>
      <c r="E25" t="s">
        <v>188</v>
      </c>
      <c r="F25" t="s">
        <v>136</v>
      </c>
      <c r="G25" t="s">
        <v>136</v>
      </c>
      <c r="I25" t="s">
        <v>76</v>
      </c>
      <c r="J25" t="s">
        <v>34</v>
      </c>
      <c r="K25">
        <v>21</v>
      </c>
      <c r="L25">
        <v>33.33</v>
      </c>
      <c r="M25" t="s">
        <v>137</v>
      </c>
      <c r="Q25">
        <v>0</v>
      </c>
    </row>
    <row r="26" spans="1:17" x14ac:dyDescent="0.4">
      <c r="A26">
        <v>25</v>
      </c>
      <c r="B26" t="s">
        <v>189</v>
      </c>
      <c r="C26">
        <v>1</v>
      </c>
      <c r="D26" t="s">
        <v>190</v>
      </c>
      <c r="E26" t="s">
        <v>188</v>
      </c>
      <c r="F26" t="s">
        <v>136</v>
      </c>
      <c r="G26" t="s">
        <v>136</v>
      </c>
      <c r="I26" t="s">
        <v>76</v>
      </c>
      <c r="J26" t="s">
        <v>34</v>
      </c>
      <c r="K26">
        <v>21</v>
      </c>
      <c r="L26">
        <v>33.33</v>
      </c>
      <c r="M26" t="s">
        <v>137</v>
      </c>
      <c r="Q26">
        <v>0</v>
      </c>
    </row>
    <row r="27" spans="1:17" x14ac:dyDescent="0.4">
      <c r="A27">
        <v>26</v>
      </c>
      <c r="B27" t="s">
        <v>191</v>
      </c>
      <c r="C27">
        <v>1</v>
      </c>
      <c r="D27" t="s">
        <v>192</v>
      </c>
      <c r="E27" t="s">
        <v>193</v>
      </c>
      <c r="F27" t="s">
        <v>136</v>
      </c>
      <c r="G27" t="s">
        <v>136</v>
      </c>
      <c r="I27" t="s">
        <v>76</v>
      </c>
      <c r="J27" t="s">
        <v>53</v>
      </c>
      <c r="K27">
        <v>10</v>
      </c>
      <c r="L27">
        <v>30</v>
      </c>
      <c r="M27" t="s">
        <v>137</v>
      </c>
      <c r="Q27">
        <v>0</v>
      </c>
    </row>
    <row r="28" spans="1:17" x14ac:dyDescent="0.4">
      <c r="A28">
        <v>27</v>
      </c>
      <c r="B28" t="s">
        <v>194</v>
      </c>
      <c r="C28">
        <v>1</v>
      </c>
      <c r="D28" t="s">
        <v>195</v>
      </c>
      <c r="E28" t="s">
        <v>151</v>
      </c>
      <c r="F28" t="s">
        <v>136</v>
      </c>
      <c r="G28" t="s">
        <v>136</v>
      </c>
      <c r="I28" t="s">
        <v>76</v>
      </c>
      <c r="J28" t="s">
        <v>53</v>
      </c>
      <c r="K28">
        <v>3</v>
      </c>
      <c r="L28">
        <v>66.67</v>
      </c>
      <c r="M28" t="s">
        <v>137</v>
      </c>
      <c r="Q28">
        <v>0</v>
      </c>
    </row>
    <row r="29" spans="1:17" x14ac:dyDescent="0.4">
      <c r="A29">
        <v>28</v>
      </c>
      <c r="B29" t="s">
        <v>196</v>
      </c>
      <c r="C29">
        <v>1</v>
      </c>
      <c r="D29" t="s">
        <v>197</v>
      </c>
      <c r="E29" t="s">
        <v>151</v>
      </c>
      <c r="F29" t="s">
        <v>136</v>
      </c>
      <c r="G29" t="s">
        <v>136</v>
      </c>
      <c r="I29" t="s">
        <v>76</v>
      </c>
      <c r="J29" t="s">
        <v>53</v>
      </c>
      <c r="K29">
        <v>4</v>
      </c>
      <c r="L29">
        <v>50</v>
      </c>
      <c r="M29" t="s">
        <v>137</v>
      </c>
      <c r="Q29">
        <v>0</v>
      </c>
    </row>
    <row r="30" spans="1:17" x14ac:dyDescent="0.4">
      <c r="A30">
        <v>29</v>
      </c>
      <c r="B30" t="s">
        <v>198</v>
      </c>
      <c r="C30">
        <v>1</v>
      </c>
      <c r="D30" t="s">
        <v>199</v>
      </c>
      <c r="E30" t="s">
        <v>200</v>
      </c>
      <c r="F30" t="s">
        <v>136</v>
      </c>
      <c r="G30" t="s">
        <v>136</v>
      </c>
      <c r="I30" t="s">
        <v>76</v>
      </c>
      <c r="J30" t="s">
        <v>11</v>
      </c>
      <c r="K30">
        <v>30</v>
      </c>
      <c r="L30">
        <v>10</v>
      </c>
      <c r="M30" t="s">
        <v>137</v>
      </c>
      <c r="Q30">
        <v>0</v>
      </c>
    </row>
    <row r="31" spans="1:17" x14ac:dyDescent="0.4">
      <c r="A31">
        <v>30</v>
      </c>
      <c r="B31" t="s">
        <v>201</v>
      </c>
      <c r="C31">
        <v>1</v>
      </c>
      <c r="D31" t="s">
        <v>202</v>
      </c>
      <c r="E31" t="s">
        <v>200</v>
      </c>
      <c r="F31" t="s">
        <v>136</v>
      </c>
      <c r="I31" t="s">
        <v>75</v>
      </c>
      <c r="J31" t="s">
        <v>11</v>
      </c>
      <c r="K31">
        <v>40</v>
      </c>
      <c r="L31">
        <v>0</v>
      </c>
      <c r="M31" t="s">
        <v>137</v>
      </c>
      <c r="Q31">
        <v>0</v>
      </c>
    </row>
    <row r="32" spans="1:17" x14ac:dyDescent="0.4">
      <c r="A32">
        <v>31</v>
      </c>
      <c r="B32" t="s">
        <v>203</v>
      </c>
      <c r="C32">
        <v>1</v>
      </c>
      <c r="D32" t="s">
        <v>204</v>
      </c>
      <c r="E32" t="s">
        <v>200</v>
      </c>
      <c r="F32" t="s">
        <v>136</v>
      </c>
      <c r="I32" t="s">
        <v>75</v>
      </c>
      <c r="J32" t="s">
        <v>11</v>
      </c>
      <c r="K32">
        <v>24</v>
      </c>
      <c r="L32">
        <v>0</v>
      </c>
      <c r="M32" t="s">
        <v>137</v>
      </c>
      <c r="Q32">
        <v>0</v>
      </c>
    </row>
    <row r="33" spans="1:17" x14ac:dyDescent="0.4">
      <c r="A33">
        <v>32</v>
      </c>
      <c r="B33" t="s">
        <v>205</v>
      </c>
      <c r="C33">
        <v>1</v>
      </c>
      <c r="D33" t="s">
        <v>206</v>
      </c>
      <c r="E33" t="s">
        <v>200</v>
      </c>
      <c r="F33" t="s">
        <v>136</v>
      </c>
      <c r="G33" t="s">
        <v>136</v>
      </c>
      <c r="I33" t="s">
        <v>76</v>
      </c>
      <c r="J33" t="s">
        <v>11</v>
      </c>
      <c r="K33">
        <v>15</v>
      </c>
      <c r="L33">
        <v>6.67</v>
      </c>
      <c r="M33" t="s">
        <v>137</v>
      </c>
      <c r="Q33">
        <v>0</v>
      </c>
    </row>
    <row r="34" spans="1:17" x14ac:dyDescent="0.4">
      <c r="A34">
        <v>33</v>
      </c>
      <c r="B34" t="s">
        <v>207</v>
      </c>
      <c r="C34">
        <v>1</v>
      </c>
      <c r="D34" t="s">
        <v>208</v>
      </c>
      <c r="E34" t="s">
        <v>200</v>
      </c>
      <c r="F34" t="s">
        <v>136</v>
      </c>
      <c r="I34" t="s">
        <v>75</v>
      </c>
      <c r="J34" t="s">
        <v>28</v>
      </c>
      <c r="K34">
        <v>10</v>
      </c>
      <c r="L34">
        <v>0</v>
      </c>
      <c r="M34" t="s">
        <v>137</v>
      </c>
      <c r="Q34">
        <v>0</v>
      </c>
    </row>
    <row r="35" spans="1:17" x14ac:dyDescent="0.4">
      <c r="A35">
        <v>34</v>
      </c>
      <c r="B35" t="s">
        <v>209</v>
      </c>
      <c r="C35">
        <v>1</v>
      </c>
      <c r="D35" t="s">
        <v>210</v>
      </c>
      <c r="E35" t="s">
        <v>188</v>
      </c>
      <c r="F35" t="s">
        <v>136</v>
      </c>
      <c r="I35" t="s">
        <v>75</v>
      </c>
      <c r="J35" t="s">
        <v>53</v>
      </c>
      <c r="K35">
        <v>42</v>
      </c>
      <c r="L35">
        <v>0</v>
      </c>
      <c r="M35" t="s">
        <v>137</v>
      </c>
      <c r="Q35">
        <v>0</v>
      </c>
    </row>
    <row r="36" spans="1:17" x14ac:dyDescent="0.4">
      <c r="A36">
        <v>35</v>
      </c>
      <c r="B36" t="s">
        <v>211</v>
      </c>
      <c r="C36">
        <v>1</v>
      </c>
      <c r="D36" t="s">
        <v>212</v>
      </c>
      <c r="E36" t="s">
        <v>213</v>
      </c>
      <c r="F36" t="s">
        <v>136</v>
      </c>
      <c r="I36" t="s">
        <v>75</v>
      </c>
      <c r="J36" t="s">
        <v>46</v>
      </c>
      <c r="K36">
        <v>13</v>
      </c>
      <c r="L36">
        <v>0</v>
      </c>
      <c r="M36" t="s">
        <v>137</v>
      </c>
      <c r="Q36">
        <v>0</v>
      </c>
    </row>
    <row r="37" spans="1:17" x14ac:dyDescent="0.4">
      <c r="A37">
        <v>36</v>
      </c>
      <c r="B37" t="s">
        <v>214</v>
      </c>
      <c r="C37">
        <v>1</v>
      </c>
      <c r="D37" t="s">
        <v>215</v>
      </c>
      <c r="E37" t="s">
        <v>151</v>
      </c>
      <c r="F37" t="s">
        <v>136</v>
      </c>
      <c r="G37" t="s">
        <v>136</v>
      </c>
      <c r="I37" t="s">
        <v>76</v>
      </c>
      <c r="J37" t="s">
        <v>49</v>
      </c>
      <c r="K37">
        <v>4</v>
      </c>
      <c r="L37">
        <v>75</v>
      </c>
      <c r="M37" t="s">
        <v>137</v>
      </c>
      <c r="Q37">
        <v>0</v>
      </c>
    </row>
    <row r="38" spans="1:17" x14ac:dyDescent="0.4">
      <c r="A38">
        <v>37</v>
      </c>
      <c r="B38" t="s">
        <v>216</v>
      </c>
      <c r="C38">
        <v>1</v>
      </c>
      <c r="D38" t="s">
        <v>217</v>
      </c>
      <c r="E38" t="s">
        <v>151</v>
      </c>
      <c r="F38" t="s">
        <v>136</v>
      </c>
      <c r="G38" t="s">
        <v>136</v>
      </c>
      <c r="I38" t="s">
        <v>76</v>
      </c>
      <c r="J38" t="s">
        <v>49</v>
      </c>
      <c r="K38">
        <v>8</v>
      </c>
      <c r="L38">
        <v>62.5</v>
      </c>
      <c r="M38" t="s">
        <v>137</v>
      </c>
      <c r="Q38">
        <v>0</v>
      </c>
    </row>
    <row r="39" spans="1:17" x14ac:dyDescent="0.4">
      <c r="A39">
        <v>38</v>
      </c>
      <c r="B39" t="s">
        <v>218</v>
      </c>
      <c r="C39">
        <v>1</v>
      </c>
      <c r="D39" t="s">
        <v>219</v>
      </c>
      <c r="E39" t="s">
        <v>220</v>
      </c>
      <c r="F39" t="s">
        <v>136</v>
      </c>
      <c r="I39" t="s">
        <v>75</v>
      </c>
      <c r="J39" t="s">
        <v>46</v>
      </c>
      <c r="K39">
        <v>3</v>
      </c>
      <c r="L39">
        <v>0</v>
      </c>
      <c r="M39" t="s">
        <v>137</v>
      </c>
      <c r="Q39">
        <v>0</v>
      </c>
    </row>
    <row r="40" spans="1:17" x14ac:dyDescent="0.4">
      <c r="A40">
        <v>39</v>
      </c>
      <c r="B40" t="s">
        <v>221</v>
      </c>
      <c r="C40">
        <v>1</v>
      </c>
      <c r="D40" t="s">
        <v>222</v>
      </c>
      <c r="E40" t="s">
        <v>151</v>
      </c>
      <c r="F40" t="s">
        <v>136</v>
      </c>
      <c r="G40" t="s">
        <v>136</v>
      </c>
      <c r="I40" t="s">
        <v>76</v>
      </c>
      <c r="J40" t="s">
        <v>46</v>
      </c>
      <c r="K40">
        <v>12</v>
      </c>
      <c r="L40">
        <v>50</v>
      </c>
      <c r="M40" t="s">
        <v>137</v>
      </c>
      <c r="Q40">
        <v>0</v>
      </c>
    </row>
    <row r="41" spans="1:17" x14ac:dyDescent="0.4">
      <c r="A41">
        <v>40</v>
      </c>
      <c r="B41" t="s">
        <v>223</v>
      </c>
      <c r="C41">
        <v>1</v>
      </c>
      <c r="D41" t="s">
        <v>224</v>
      </c>
      <c r="E41" t="s">
        <v>151</v>
      </c>
      <c r="F41" t="s">
        <v>136</v>
      </c>
      <c r="G41" t="s">
        <v>136</v>
      </c>
      <c r="I41" t="s">
        <v>76</v>
      </c>
      <c r="J41" t="s">
        <v>53</v>
      </c>
      <c r="K41">
        <v>19</v>
      </c>
      <c r="L41">
        <v>26.32</v>
      </c>
      <c r="M41" t="s">
        <v>137</v>
      </c>
      <c r="Q41">
        <v>0</v>
      </c>
    </row>
    <row r="42" spans="1:17" x14ac:dyDescent="0.4">
      <c r="A42">
        <v>41</v>
      </c>
      <c r="B42" t="s">
        <v>225</v>
      </c>
      <c r="C42">
        <v>1</v>
      </c>
      <c r="D42" t="s">
        <v>226</v>
      </c>
      <c r="E42" t="s">
        <v>151</v>
      </c>
      <c r="F42" t="s">
        <v>136</v>
      </c>
      <c r="G42" t="s">
        <v>136</v>
      </c>
      <c r="I42" t="s">
        <v>76</v>
      </c>
      <c r="J42" t="s">
        <v>53</v>
      </c>
      <c r="K42">
        <v>6</v>
      </c>
      <c r="L42">
        <v>16.670000000000002</v>
      </c>
      <c r="M42" t="s">
        <v>137</v>
      </c>
      <c r="Q42">
        <v>0</v>
      </c>
    </row>
    <row r="43" spans="1:17" x14ac:dyDescent="0.4">
      <c r="A43">
        <v>42</v>
      </c>
      <c r="B43" t="s">
        <v>227</v>
      </c>
      <c r="C43">
        <v>1</v>
      </c>
      <c r="D43" t="s">
        <v>228</v>
      </c>
      <c r="E43" t="s">
        <v>151</v>
      </c>
      <c r="F43" t="s">
        <v>136</v>
      </c>
      <c r="I43" t="s">
        <v>75</v>
      </c>
      <c r="J43" t="s">
        <v>11</v>
      </c>
      <c r="K43">
        <v>4</v>
      </c>
      <c r="L43">
        <v>0</v>
      </c>
      <c r="M43" t="s">
        <v>137</v>
      </c>
      <c r="Q43">
        <v>0</v>
      </c>
    </row>
    <row r="44" spans="1:17" x14ac:dyDescent="0.4">
      <c r="A44">
        <v>43</v>
      </c>
      <c r="B44" t="s">
        <v>229</v>
      </c>
      <c r="C44">
        <v>1</v>
      </c>
      <c r="D44" t="s">
        <v>230</v>
      </c>
      <c r="E44" t="s">
        <v>151</v>
      </c>
      <c r="F44" t="s">
        <v>136</v>
      </c>
      <c r="G44" t="s">
        <v>136</v>
      </c>
      <c r="I44" t="s">
        <v>76</v>
      </c>
      <c r="J44" t="s">
        <v>11</v>
      </c>
      <c r="K44">
        <v>12</v>
      </c>
      <c r="L44">
        <v>16.670000000000002</v>
      </c>
      <c r="M44" t="s">
        <v>137</v>
      </c>
      <c r="Q44">
        <v>0</v>
      </c>
    </row>
    <row r="45" spans="1:17" x14ac:dyDescent="0.4">
      <c r="A45">
        <v>44</v>
      </c>
      <c r="B45" t="s">
        <v>231</v>
      </c>
      <c r="C45">
        <v>1</v>
      </c>
      <c r="D45" t="s">
        <v>232</v>
      </c>
      <c r="E45" t="s">
        <v>188</v>
      </c>
      <c r="F45" t="s">
        <v>136</v>
      </c>
      <c r="I45" t="s">
        <v>75</v>
      </c>
      <c r="J45" t="s">
        <v>53</v>
      </c>
      <c r="K45">
        <v>2</v>
      </c>
      <c r="L45">
        <v>0</v>
      </c>
      <c r="M45" t="s">
        <v>137</v>
      </c>
      <c r="Q45">
        <v>0</v>
      </c>
    </row>
    <row r="46" spans="1:17" x14ac:dyDescent="0.4">
      <c r="A46">
        <v>45</v>
      </c>
      <c r="B46" t="s">
        <v>233</v>
      </c>
      <c r="C46">
        <v>1</v>
      </c>
      <c r="D46" t="s">
        <v>234</v>
      </c>
      <c r="E46" t="s">
        <v>188</v>
      </c>
      <c r="F46" t="s">
        <v>136</v>
      </c>
      <c r="I46" t="s">
        <v>75</v>
      </c>
      <c r="J46" t="s">
        <v>28</v>
      </c>
      <c r="K46">
        <v>4</v>
      </c>
      <c r="L46">
        <v>0</v>
      </c>
      <c r="M46" t="s">
        <v>137</v>
      </c>
      <c r="Q46">
        <v>0</v>
      </c>
    </row>
    <row r="47" spans="1:17" x14ac:dyDescent="0.4">
      <c r="A47">
        <v>46</v>
      </c>
      <c r="B47" t="s">
        <v>235</v>
      </c>
      <c r="C47">
        <v>1</v>
      </c>
      <c r="D47" t="s">
        <v>236</v>
      </c>
      <c r="E47" t="s">
        <v>188</v>
      </c>
      <c r="F47" t="s">
        <v>136</v>
      </c>
      <c r="I47" t="s">
        <v>75</v>
      </c>
      <c r="J47" t="s">
        <v>28</v>
      </c>
      <c r="K47">
        <v>8</v>
      </c>
      <c r="L47">
        <v>0</v>
      </c>
      <c r="M47" t="s">
        <v>137</v>
      </c>
      <c r="Q47">
        <v>0</v>
      </c>
    </row>
    <row r="48" spans="1:17" x14ac:dyDescent="0.4">
      <c r="A48">
        <v>47</v>
      </c>
      <c r="B48" t="s">
        <v>237</v>
      </c>
      <c r="C48">
        <v>1</v>
      </c>
      <c r="D48" t="s">
        <v>238</v>
      </c>
      <c r="E48" t="s">
        <v>188</v>
      </c>
      <c r="F48" t="s">
        <v>136</v>
      </c>
      <c r="I48" t="s">
        <v>75</v>
      </c>
      <c r="J48" t="s">
        <v>46</v>
      </c>
      <c r="K48">
        <v>6</v>
      </c>
      <c r="L48">
        <v>0</v>
      </c>
      <c r="M48" t="s">
        <v>137</v>
      </c>
      <c r="Q48">
        <v>0</v>
      </c>
    </row>
    <row r="49" spans="1:17" x14ac:dyDescent="0.4">
      <c r="A49">
        <v>48</v>
      </c>
      <c r="B49" t="s">
        <v>239</v>
      </c>
      <c r="C49">
        <v>1</v>
      </c>
      <c r="D49" t="s">
        <v>240</v>
      </c>
      <c r="E49" t="s">
        <v>188</v>
      </c>
      <c r="F49" t="s">
        <v>136</v>
      </c>
      <c r="I49" t="s">
        <v>75</v>
      </c>
      <c r="J49" t="s">
        <v>11</v>
      </c>
      <c r="K49">
        <v>7</v>
      </c>
      <c r="L49">
        <v>0</v>
      </c>
      <c r="M49" t="s">
        <v>137</v>
      </c>
      <c r="Q49">
        <v>0</v>
      </c>
    </row>
    <row r="50" spans="1:17" x14ac:dyDescent="0.4">
      <c r="A50">
        <v>49</v>
      </c>
      <c r="B50" t="s">
        <v>241</v>
      </c>
      <c r="C50">
        <v>1</v>
      </c>
      <c r="D50" t="s">
        <v>242</v>
      </c>
      <c r="E50" t="s">
        <v>188</v>
      </c>
      <c r="F50" t="s">
        <v>136</v>
      </c>
      <c r="I50" t="s">
        <v>75</v>
      </c>
      <c r="J50" t="s">
        <v>11</v>
      </c>
      <c r="K50">
        <v>4</v>
      </c>
      <c r="L50">
        <v>0</v>
      </c>
      <c r="M50" t="s">
        <v>137</v>
      </c>
      <c r="Q50">
        <v>0</v>
      </c>
    </row>
    <row r="51" spans="1:17" x14ac:dyDescent="0.4">
      <c r="A51">
        <v>50</v>
      </c>
      <c r="B51" t="s">
        <v>243</v>
      </c>
      <c r="C51">
        <v>1</v>
      </c>
      <c r="D51" t="s">
        <v>244</v>
      </c>
      <c r="E51" t="s">
        <v>188</v>
      </c>
      <c r="F51" t="s">
        <v>136</v>
      </c>
      <c r="I51" t="s">
        <v>75</v>
      </c>
      <c r="J51" t="s">
        <v>11</v>
      </c>
      <c r="K51">
        <v>4</v>
      </c>
      <c r="L51">
        <v>0</v>
      </c>
      <c r="M51" t="s">
        <v>137</v>
      </c>
      <c r="Q51">
        <v>0</v>
      </c>
    </row>
    <row r="52" spans="1:17" x14ac:dyDescent="0.4">
      <c r="A52">
        <v>51</v>
      </c>
      <c r="B52" t="s">
        <v>245</v>
      </c>
      <c r="C52">
        <v>1</v>
      </c>
      <c r="D52" t="s">
        <v>246</v>
      </c>
      <c r="E52" t="s">
        <v>188</v>
      </c>
      <c r="F52" t="s">
        <v>136</v>
      </c>
      <c r="I52" t="s">
        <v>75</v>
      </c>
      <c r="J52" t="s">
        <v>17</v>
      </c>
      <c r="K52">
        <v>5</v>
      </c>
      <c r="L52">
        <v>0</v>
      </c>
      <c r="M52" t="s">
        <v>137</v>
      </c>
      <c r="Q52">
        <v>0</v>
      </c>
    </row>
    <row r="53" spans="1:17" x14ac:dyDescent="0.4">
      <c r="A53">
        <v>52</v>
      </c>
      <c r="B53" t="s">
        <v>247</v>
      </c>
      <c r="C53">
        <v>1</v>
      </c>
      <c r="D53" t="s">
        <v>248</v>
      </c>
      <c r="E53" t="s">
        <v>188</v>
      </c>
      <c r="F53" t="s">
        <v>136</v>
      </c>
      <c r="I53" t="s">
        <v>75</v>
      </c>
      <c r="J53" t="s">
        <v>11</v>
      </c>
      <c r="K53">
        <v>12</v>
      </c>
      <c r="L53">
        <v>0</v>
      </c>
      <c r="M53" t="s">
        <v>137</v>
      </c>
      <c r="Q53">
        <v>0</v>
      </c>
    </row>
    <row r="54" spans="1:17" x14ac:dyDescent="0.4">
      <c r="A54">
        <v>53</v>
      </c>
      <c r="B54" t="s">
        <v>249</v>
      </c>
      <c r="C54">
        <v>1</v>
      </c>
      <c r="D54" t="s">
        <v>250</v>
      </c>
      <c r="E54" t="s">
        <v>188</v>
      </c>
      <c r="F54" t="s">
        <v>136</v>
      </c>
      <c r="I54" t="s">
        <v>75</v>
      </c>
      <c r="J54" t="s">
        <v>11</v>
      </c>
      <c r="K54">
        <v>9</v>
      </c>
      <c r="L54">
        <v>0</v>
      </c>
      <c r="M54" t="s">
        <v>137</v>
      </c>
      <c r="Q54">
        <v>0</v>
      </c>
    </row>
    <row r="55" spans="1:17" x14ac:dyDescent="0.4">
      <c r="A55">
        <v>54</v>
      </c>
      <c r="B55" t="s">
        <v>251</v>
      </c>
      <c r="C55">
        <v>1</v>
      </c>
      <c r="D55" t="s">
        <v>252</v>
      </c>
      <c r="E55" t="s">
        <v>200</v>
      </c>
      <c r="F55" t="s">
        <v>136</v>
      </c>
      <c r="G55" t="s">
        <v>136</v>
      </c>
      <c r="I55" t="s">
        <v>76</v>
      </c>
      <c r="J55" t="s">
        <v>11</v>
      </c>
      <c r="K55">
        <v>13</v>
      </c>
      <c r="L55">
        <v>53.85</v>
      </c>
      <c r="M55" t="s">
        <v>137</v>
      </c>
      <c r="Q55">
        <v>0</v>
      </c>
    </row>
    <row r="56" spans="1:17" x14ac:dyDescent="0.4">
      <c r="A56">
        <v>55</v>
      </c>
      <c r="B56" t="s">
        <v>253</v>
      </c>
      <c r="C56">
        <v>1</v>
      </c>
      <c r="D56" t="s">
        <v>254</v>
      </c>
      <c r="E56" t="s">
        <v>200</v>
      </c>
      <c r="F56" t="s">
        <v>136</v>
      </c>
      <c r="G56" t="s">
        <v>136</v>
      </c>
      <c r="H56" t="s">
        <v>136</v>
      </c>
      <c r="I56" t="s">
        <v>77</v>
      </c>
      <c r="J56" t="s">
        <v>11</v>
      </c>
      <c r="K56">
        <v>5</v>
      </c>
      <c r="L56">
        <v>100</v>
      </c>
      <c r="M56" t="s">
        <v>137</v>
      </c>
      <c r="Q56">
        <v>0</v>
      </c>
    </row>
    <row r="57" spans="1:17" x14ac:dyDescent="0.4">
      <c r="A57">
        <v>56</v>
      </c>
      <c r="B57" t="s">
        <v>255</v>
      </c>
      <c r="C57">
        <v>1</v>
      </c>
      <c r="D57" t="s">
        <v>256</v>
      </c>
      <c r="E57" t="s">
        <v>151</v>
      </c>
      <c r="F57" t="s">
        <v>136</v>
      </c>
      <c r="G57" t="s">
        <v>136</v>
      </c>
      <c r="I57" t="s">
        <v>76</v>
      </c>
      <c r="J57" t="s">
        <v>34</v>
      </c>
      <c r="K57">
        <v>16</v>
      </c>
      <c r="L57">
        <v>75</v>
      </c>
      <c r="M57" t="s">
        <v>137</v>
      </c>
      <c r="Q57">
        <v>0</v>
      </c>
    </row>
    <row r="58" spans="1:17" x14ac:dyDescent="0.4">
      <c r="A58">
        <v>57</v>
      </c>
      <c r="B58" t="s">
        <v>257</v>
      </c>
      <c r="C58">
        <v>1</v>
      </c>
      <c r="D58" t="s">
        <v>258</v>
      </c>
      <c r="E58" t="s">
        <v>188</v>
      </c>
      <c r="F58" t="s">
        <v>136</v>
      </c>
      <c r="I58" t="s">
        <v>75</v>
      </c>
      <c r="J58" t="s">
        <v>46</v>
      </c>
      <c r="K58">
        <v>3</v>
      </c>
      <c r="L58">
        <v>0</v>
      </c>
      <c r="M58" t="s">
        <v>137</v>
      </c>
      <c r="Q58">
        <v>0</v>
      </c>
    </row>
    <row r="59" spans="1:17" x14ac:dyDescent="0.4">
      <c r="A59">
        <v>58</v>
      </c>
      <c r="B59" t="s">
        <v>259</v>
      </c>
      <c r="C59">
        <v>1</v>
      </c>
      <c r="D59" t="s">
        <v>260</v>
      </c>
      <c r="E59" t="s">
        <v>200</v>
      </c>
      <c r="F59" t="s">
        <v>136</v>
      </c>
      <c r="I59" t="s">
        <v>75</v>
      </c>
      <c r="J59" t="s">
        <v>17</v>
      </c>
      <c r="K59">
        <v>36</v>
      </c>
      <c r="L59">
        <v>0</v>
      </c>
      <c r="M59" t="s">
        <v>137</v>
      </c>
      <c r="Q59">
        <v>0</v>
      </c>
    </row>
    <row r="60" spans="1:17" x14ac:dyDescent="0.4">
      <c r="A60">
        <v>59</v>
      </c>
      <c r="B60" t="s">
        <v>261</v>
      </c>
      <c r="C60">
        <v>1</v>
      </c>
      <c r="D60" t="s">
        <v>262</v>
      </c>
      <c r="E60" t="s">
        <v>200</v>
      </c>
      <c r="F60" t="s">
        <v>136</v>
      </c>
      <c r="I60" t="s">
        <v>75</v>
      </c>
      <c r="J60" t="s">
        <v>34</v>
      </c>
      <c r="K60">
        <v>12</v>
      </c>
      <c r="L60">
        <v>0</v>
      </c>
      <c r="M60" t="s">
        <v>137</v>
      </c>
      <c r="Q60">
        <v>0</v>
      </c>
    </row>
    <row r="61" spans="1:17" x14ac:dyDescent="0.4">
      <c r="A61">
        <v>60</v>
      </c>
      <c r="B61" t="s">
        <v>263</v>
      </c>
      <c r="C61">
        <v>1</v>
      </c>
      <c r="D61" t="s">
        <v>264</v>
      </c>
      <c r="E61" t="s">
        <v>200</v>
      </c>
      <c r="F61" t="s">
        <v>136</v>
      </c>
      <c r="I61" t="s">
        <v>75</v>
      </c>
      <c r="J61" t="s">
        <v>17</v>
      </c>
      <c r="K61">
        <v>8</v>
      </c>
      <c r="L61">
        <v>0</v>
      </c>
      <c r="M61" t="s">
        <v>137</v>
      </c>
      <c r="Q61">
        <v>0</v>
      </c>
    </row>
    <row r="62" spans="1:17" x14ac:dyDescent="0.4">
      <c r="A62">
        <v>61</v>
      </c>
      <c r="B62" t="s">
        <v>265</v>
      </c>
      <c r="C62">
        <v>1</v>
      </c>
      <c r="D62" t="s">
        <v>266</v>
      </c>
      <c r="E62" t="s">
        <v>200</v>
      </c>
      <c r="F62" t="s">
        <v>136</v>
      </c>
      <c r="G62" t="s">
        <v>136</v>
      </c>
      <c r="I62" t="s">
        <v>76</v>
      </c>
      <c r="J62" t="s">
        <v>17</v>
      </c>
      <c r="K62">
        <v>12</v>
      </c>
      <c r="L62">
        <v>91.67</v>
      </c>
      <c r="M62" t="s">
        <v>137</v>
      </c>
      <c r="Q62">
        <v>0</v>
      </c>
    </row>
    <row r="63" spans="1:17" x14ac:dyDescent="0.4">
      <c r="A63">
        <v>62</v>
      </c>
      <c r="B63" t="s">
        <v>267</v>
      </c>
      <c r="C63">
        <v>1</v>
      </c>
      <c r="D63" t="s">
        <v>268</v>
      </c>
      <c r="E63" t="s">
        <v>188</v>
      </c>
      <c r="F63" t="s">
        <v>136</v>
      </c>
      <c r="I63" t="s">
        <v>75</v>
      </c>
      <c r="J63" t="s">
        <v>28</v>
      </c>
      <c r="K63">
        <v>5</v>
      </c>
      <c r="L63">
        <v>0</v>
      </c>
      <c r="M63" t="s">
        <v>137</v>
      </c>
      <c r="Q63">
        <v>0</v>
      </c>
    </row>
    <row r="64" spans="1:17" x14ac:dyDescent="0.4">
      <c r="A64">
        <v>63</v>
      </c>
      <c r="B64" t="s">
        <v>269</v>
      </c>
      <c r="C64">
        <v>1</v>
      </c>
      <c r="D64" t="s">
        <v>270</v>
      </c>
      <c r="E64" t="s">
        <v>151</v>
      </c>
      <c r="F64" t="s">
        <v>136</v>
      </c>
      <c r="G64" t="s">
        <v>136</v>
      </c>
      <c r="I64" t="s">
        <v>76</v>
      </c>
      <c r="J64" t="s">
        <v>49</v>
      </c>
      <c r="K64">
        <v>6</v>
      </c>
      <c r="L64">
        <v>83.33</v>
      </c>
      <c r="M64" t="s">
        <v>137</v>
      </c>
      <c r="Q64">
        <v>0</v>
      </c>
    </row>
    <row r="65" spans="1:17" x14ac:dyDescent="0.4">
      <c r="A65">
        <v>64</v>
      </c>
      <c r="B65" t="s">
        <v>271</v>
      </c>
      <c r="C65">
        <v>1</v>
      </c>
      <c r="D65" t="s">
        <v>272</v>
      </c>
      <c r="E65" t="s">
        <v>273</v>
      </c>
      <c r="F65" t="s">
        <v>136</v>
      </c>
      <c r="G65" t="s">
        <v>136</v>
      </c>
      <c r="I65" t="s">
        <v>76</v>
      </c>
      <c r="J65" t="s">
        <v>17</v>
      </c>
      <c r="K65">
        <v>6</v>
      </c>
      <c r="L65">
        <v>33.33</v>
      </c>
      <c r="M65" t="s">
        <v>137</v>
      </c>
      <c r="Q65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22"/>
  <sheetViews>
    <sheetView zoomScaleNormal="100" workbookViewId="0">
      <pane ySplit="1" topLeftCell="A2" activePane="bottomLeft" state="frozen"/>
      <selection pane="bottomLeft"/>
    </sheetView>
  </sheetViews>
  <sheetFormatPr defaultColWidth="8.69140625" defaultRowHeight="14.6" x14ac:dyDescent="0.4"/>
  <cols>
    <col min="1" max="1" width="16" customWidth="1"/>
    <col min="2" max="2" width="45" customWidth="1"/>
    <col min="3" max="4" width="14" customWidth="1"/>
    <col min="5" max="5" width="18" customWidth="1"/>
    <col min="6" max="6" width="22" customWidth="1"/>
    <col min="7" max="7" width="26" customWidth="1"/>
    <col min="8" max="8" width="10" customWidth="1"/>
  </cols>
  <sheetData>
    <row r="1" spans="1:8" ht="24.9" customHeight="1" x14ac:dyDescent="0.4">
      <c r="A1" s="10" t="s">
        <v>119</v>
      </c>
      <c r="B1" s="10" t="s">
        <v>274</v>
      </c>
      <c r="C1" s="10" t="s">
        <v>275</v>
      </c>
      <c r="D1" s="10" t="s">
        <v>276</v>
      </c>
      <c r="E1" s="10" t="s">
        <v>277</v>
      </c>
      <c r="F1" s="10" t="s">
        <v>130</v>
      </c>
      <c r="G1" s="10" t="s">
        <v>131</v>
      </c>
      <c r="H1" s="10" t="s">
        <v>132</v>
      </c>
    </row>
    <row r="2" spans="1:8" x14ac:dyDescent="0.4">
      <c r="A2" t="s">
        <v>133</v>
      </c>
      <c r="B2" t="s">
        <v>278</v>
      </c>
      <c r="C2" t="s">
        <v>136</v>
      </c>
      <c r="D2" t="s">
        <v>28</v>
      </c>
      <c r="E2" t="b">
        <v>1</v>
      </c>
      <c r="H2">
        <v>0</v>
      </c>
    </row>
    <row r="3" spans="1:8" x14ac:dyDescent="0.4">
      <c r="A3" t="s">
        <v>133</v>
      </c>
      <c r="B3" t="s">
        <v>279</v>
      </c>
      <c r="C3" t="s">
        <v>136</v>
      </c>
      <c r="D3" t="s">
        <v>28</v>
      </c>
      <c r="E3" t="b">
        <v>1</v>
      </c>
      <c r="H3">
        <v>0</v>
      </c>
    </row>
    <row r="4" spans="1:8" x14ac:dyDescent="0.4">
      <c r="A4" t="s">
        <v>133</v>
      </c>
      <c r="B4" t="s">
        <v>280</v>
      </c>
      <c r="C4" t="s">
        <v>136</v>
      </c>
      <c r="D4" t="s">
        <v>28</v>
      </c>
      <c r="E4" t="b">
        <v>1</v>
      </c>
      <c r="H4">
        <v>0</v>
      </c>
    </row>
    <row r="5" spans="1:8" x14ac:dyDescent="0.4">
      <c r="A5" t="s">
        <v>133</v>
      </c>
      <c r="B5" t="s">
        <v>281</v>
      </c>
      <c r="C5" t="s">
        <v>136</v>
      </c>
      <c r="D5" t="s">
        <v>28</v>
      </c>
      <c r="E5" t="b">
        <v>1</v>
      </c>
      <c r="H5">
        <v>0</v>
      </c>
    </row>
    <row r="6" spans="1:8" x14ac:dyDescent="0.4">
      <c r="A6" t="s">
        <v>133</v>
      </c>
      <c r="B6" t="s">
        <v>282</v>
      </c>
      <c r="C6" t="s">
        <v>136</v>
      </c>
      <c r="D6" t="s">
        <v>28</v>
      </c>
      <c r="E6" t="b">
        <v>1</v>
      </c>
      <c r="H6">
        <v>0</v>
      </c>
    </row>
    <row r="7" spans="1:8" x14ac:dyDescent="0.4">
      <c r="A7" t="s">
        <v>133</v>
      </c>
      <c r="B7" t="s">
        <v>283</v>
      </c>
      <c r="C7" t="s">
        <v>136</v>
      </c>
      <c r="D7" t="s">
        <v>28</v>
      </c>
      <c r="E7" t="b">
        <v>1</v>
      </c>
      <c r="H7">
        <v>0</v>
      </c>
    </row>
    <row r="8" spans="1:8" x14ac:dyDescent="0.4">
      <c r="A8" t="s">
        <v>133</v>
      </c>
      <c r="B8" t="s">
        <v>284</v>
      </c>
      <c r="C8" t="s">
        <v>136</v>
      </c>
      <c r="D8" t="s">
        <v>28</v>
      </c>
      <c r="E8" t="b">
        <v>1</v>
      </c>
      <c r="H8">
        <v>0</v>
      </c>
    </row>
    <row r="9" spans="1:8" x14ac:dyDescent="0.4">
      <c r="A9" t="s">
        <v>133</v>
      </c>
      <c r="B9" t="s">
        <v>285</v>
      </c>
      <c r="C9" t="s">
        <v>136</v>
      </c>
      <c r="D9" t="s">
        <v>28</v>
      </c>
      <c r="E9" t="b">
        <v>1</v>
      </c>
      <c r="H9">
        <v>0</v>
      </c>
    </row>
    <row r="10" spans="1:8" x14ac:dyDescent="0.4">
      <c r="A10" t="s">
        <v>133</v>
      </c>
      <c r="B10" t="s">
        <v>286</v>
      </c>
      <c r="D10" t="s">
        <v>28</v>
      </c>
      <c r="E10" t="b">
        <v>0</v>
      </c>
      <c r="H10">
        <v>0</v>
      </c>
    </row>
    <row r="11" spans="1:8" x14ac:dyDescent="0.4">
      <c r="A11" t="s">
        <v>138</v>
      </c>
      <c r="B11" t="s">
        <v>278</v>
      </c>
      <c r="C11" t="s">
        <v>136</v>
      </c>
      <c r="D11" t="s">
        <v>28</v>
      </c>
      <c r="E11" t="b">
        <v>1</v>
      </c>
      <c r="H11">
        <v>0</v>
      </c>
    </row>
    <row r="12" spans="1:8" x14ac:dyDescent="0.4">
      <c r="A12" t="s">
        <v>138</v>
      </c>
      <c r="B12" t="s">
        <v>279</v>
      </c>
      <c r="C12" t="s">
        <v>136</v>
      </c>
      <c r="D12" t="s">
        <v>28</v>
      </c>
      <c r="E12" t="b">
        <v>1</v>
      </c>
      <c r="H12">
        <v>0</v>
      </c>
    </row>
    <row r="13" spans="1:8" x14ac:dyDescent="0.4">
      <c r="A13" t="s">
        <v>138</v>
      </c>
      <c r="B13" t="s">
        <v>280</v>
      </c>
      <c r="C13" t="s">
        <v>136</v>
      </c>
      <c r="D13" t="s">
        <v>28</v>
      </c>
      <c r="E13" t="b">
        <v>1</v>
      </c>
      <c r="H13">
        <v>0</v>
      </c>
    </row>
    <row r="14" spans="1:8" x14ac:dyDescent="0.4">
      <c r="A14" t="s">
        <v>138</v>
      </c>
      <c r="B14" t="s">
        <v>281</v>
      </c>
      <c r="C14" t="s">
        <v>136</v>
      </c>
      <c r="D14" t="s">
        <v>28</v>
      </c>
      <c r="E14" t="b">
        <v>1</v>
      </c>
      <c r="H14">
        <v>0</v>
      </c>
    </row>
    <row r="15" spans="1:8" x14ac:dyDescent="0.4">
      <c r="A15" t="s">
        <v>138</v>
      </c>
      <c r="B15" t="s">
        <v>282</v>
      </c>
      <c r="C15" t="s">
        <v>136</v>
      </c>
      <c r="D15" t="s">
        <v>28</v>
      </c>
      <c r="E15" t="b">
        <v>1</v>
      </c>
      <c r="H15">
        <v>0</v>
      </c>
    </row>
    <row r="16" spans="1:8" x14ac:dyDescent="0.4">
      <c r="A16" t="s">
        <v>138</v>
      </c>
      <c r="B16" t="s">
        <v>283</v>
      </c>
      <c r="C16" t="s">
        <v>136</v>
      </c>
      <c r="D16" t="s">
        <v>28</v>
      </c>
      <c r="E16" t="b">
        <v>1</v>
      </c>
      <c r="H16">
        <v>0</v>
      </c>
    </row>
    <row r="17" spans="1:8" x14ac:dyDescent="0.4">
      <c r="A17" t="s">
        <v>138</v>
      </c>
      <c r="B17" t="s">
        <v>284</v>
      </c>
      <c r="C17" t="s">
        <v>136</v>
      </c>
      <c r="D17" t="s">
        <v>28</v>
      </c>
      <c r="E17" t="b">
        <v>1</v>
      </c>
      <c r="H17">
        <v>0</v>
      </c>
    </row>
    <row r="18" spans="1:8" x14ac:dyDescent="0.4">
      <c r="A18" t="s">
        <v>138</v>
      </c>
      <c r="B18" t="s">
        <v>285</v>
      </c>
      <c r="C18" t="s">
        <v>136</v>
      </c>
      <c r="D18" t="s">
        <v>28</v>
      </c>
      <c r="E18" t="b">
        <v>1</v>
      </c>
      <c r="H18">
        <v>0</v>
      </c>
    </row>
    <row r="19" spans="1:8" x14ac:dyDescent="0.4">
      <c r="A19" t="s">
        <v>138</v>
      </c>
      <c r="B19" t="s">
        <v>286</v>
      </c>
      <c r="D19" t="s">
        <v>28</v>
      </c>
      <c r="E19" t="b">
        <v>0</v>
      </c>
      <c r="H19">
        <v>0</v>
      </c>
    </row>
    <row r="20" spans="1:8" x14ac:dyDescent="0.4">
      <c r="A20" t="s">
        <v>140</v>
      </c>
      <c r="B20" t="s">
        <v>278</v>
      </c>
      <c r="C20" t="s">
        <v>136</v>
      </c>
      <c r="D20" t="s">
        <v>28</v>
      </c>
      <c r="E20" t="b">
        <v>1</v>
      </c>
      <c r="H20">
        <v>0</v>
      </c>
    </row>
    <row r="21" spans="1:8" x14ac:dyDescent="0.4">
      <c r="A21" t="s">
        <v>140</v>
      </c>
      <c r="B21" t="s">
        <v>279</v>
      </c>
      <c r="C21" t="s">
        <v>136</v>
      </c>
      <c r="D21" t="s">
        <v>28</v>
      </c>
      <c r="E21" t="b">
        <v>1</v>
      </c>
      <c r="H21">
        <v>0</v>
      </c>
    </row>
    <row r="22" spans="1:8" x14ac:dyDescent="0.4">
      <c r="A22" t="s">
        <v>140</v>
      </c>
      <c r="B22" t="s">
        <v>282</v>
      </c>
      <c r="C22" t="s">
        <v>136</v>
      </c>
      <c r="D22" t="s">
        <v>28</v>
      </c>
      <c r="E22" t="b">
        <v>1</v>
      </c>
      <c r="H22">
        <v>0</v>
      </c>
    </row>
    <row r="23" spans="1:8" x14ac:dyDescent="0.4">
      <c r="A23" t="s">
        <v>140</v>
      </c>
      <c r="B23" t="s">
        <v>281</v>
      </c>
      <c r="C23" t="s">
        <v>136</v>
      </c>
      <c r="D23" t="s">
        <v>28</v>
      </c>
      <c r="E23" t="b">
        <v>1</v>
      </c>
      <c r="H23">
        <v>0</v>
      </c>
    </row>
    <row r="24" spans="1:8" x14ac:dyDescent="0.4">
      <c r="A24" t="s">
        <v>140</v>
      </c>
      <c r="B24" t="s">
        <v>283</v>
      </c>
      <c r="C24" t="s">
        <v>136</v>
      </c>
      <c r="D24" t="s">
        <v>28</v>
      </c>
      <c r="E24" t="b">
        <v>1</v>
      </c>
      <c r="H24">
        <v>0</v>
      </c>
    </row>
    <row r="25" spans="1:8" x14ac:dyDescent="0.4">
      <c r="A25" t="s">
        <v>140</v>
      </c>
      <c r="B25" t="s">
        <v>284</v>
      </c>
      <c r="C25" t="s">
        <v>136</v>
      </c>
      <c r="D25" t="s">
        <v>28</v>
      </c>
      <c r="E25" t="b">
        <v>1</v>
      </c>
      <c r="H25">
        <v>0</v>
      </c>
    </row>
    <row r="26" spans="1:8" x14ac:dyDescent="0.4">
      <c r="A26" t="s">
        <v>140</v>
      </c>
      <c r="B26" t="s">
        <v>285</v>
      </c>
      <c r="C26" t="s">
        <v>136</v>
      </c>
      <c r="D26" t="s">
        <v>28</v>
      </c>
      <c r="E26" t="b">
        <v>1</v>
      </c>
      <c r="H26">
        <v>0</v>
      </c>
    </row>
    <row r="27" spans="1:8" x14ac:dyDescent="0.4">
      <c r="A27" t="s">
        <v>140</v>
      </c>
      <c r="B27" t="s">
        <v>286</v>
      </c>
      <c r="D27" t="s">
        <v>28</v>
      </c>
      <c r="E27" t="b">
        <v>0</v>
      </c>
      <c r="H27">
        <v>0</v>
      </c>
    </row>
    <row r="28" spans="1:8" x14ac:dyDescent="0.4">
      <c r="A28" t="s">
        <v>140</v>
      </c>
      <c r="B28" t="s">
        <v>287</v>
      </c>
      <c r="D28" t="s">
        <v>28</v>
      </c>
      <c r="E28" t="b">
        <v>0</v>
      </c>
      <c r="H28">
        <v>0</v>
      </c>
    </row>
    <row r="29" spans="1:8" x14ac:dyDescent="0.4">
      <c r="A29" t="s">
        <v>143</v>
      </c>
      <c r="B29" t="s">
        <v>278</v>
      </c>
      <c r="C29" t="s">
        <v>136</v>
      </c>
      <c r="D29" t="s">
        <v>28</v>
      </c>
      <c r="E29" t="b">
        <v>1</v>
      </c>
      <c r="H29">
        <v>0</v>
      </c>
    </row>
    <row r="30" spans="1:8" x14ac:dyDescent="0.4">
      <c r="A30" t="s">
        <v>143</v>
      </c>
      <c r="B30" t="s">
        <v>279</v>
      </c>
      <c r="C30" t="s">
        <v>136</v>
      </c>
      <c r="D30" t="s">
        <v>28</v>
      </c>
      <c r="E30" t="b">
        <v>1</v>
      </c>
      <c r="H30">
        <v>0</v>
      </c>
    </row>
    <row r="31" spans="1:8" x14ac:dyDescent="0.4">
      <c r="A31" t="s">
        <v>143</v>
      </c>
      <c r="B31" t="s">
        <v>281</v>
      </c>
      <c r="C31" t="s">
        <v>136</v>
      </c>
      <c r="D31" t="s">
        <v>28</v>
      </c>
      <c r="E31" t="b">
        <v>1</v>
      </c>
      <c r="H31">
        <v>0</v>
      </c>
    </row>
    <row r="32" spans="1:8" x14ac:dyDescent="0.4">
      <c r="A32" t="s">
        <v>143</v>
      </c>
      <c r="B32" t="s">
        <v>282</v>
      </c>
      <c r="C32" t="s">
        <v>136</v>
      </c>
      <c r="D32" t="s">
        <v>28</v>
      </c>
      <c r="E32" t="b">
        <v>1</v>
      </c>
      <c r="H32">
        <v>0</v>
      </c>
    </row>
    <row r="33" spans="1:8" x14ac:dyDescent="0.4">
      <c r="A33" t="s">
        <v>143</v>
      </c>
      <c r="B33" t="s">
        <v>283</v>
      </c>
      <c r="C33" t="s">
        <v>136</v>
      </c>
      <c r="D33" t="s">
        <v>28</v>
      </c>
      <c r="E33" t="b">
        <v>1</v>
      </c>
      <c r="H33">
        <v>0</v>
      </c>
    </row>
    <row r="34" spans="1:8" x14ac:dyDescent="0.4">
      <c r="A34" t="s">
        <v>143</v>
      </c>
      <c r="B34" t="s">
        <v>284</v>
      </c>
      <c r="C34" t="s">
        <v>136</v>
      </c>
      <c r="D34" t="s">
        <v>28</v>
      </c>
      <c r="E34" t="b">
        <v>1</v>
      </c>
      <c r="H34">
        <v>0</v>
      </c>
    </row>
    <row r="35" spans="1:8" x14ac:dyDescent="0.4">
      <c r="A35" t="s">
        <v>143</v>
      </c>
      <c r="B35" t="s">
        <v>285</v>
      </c>
      <c r="C35" t="s">
        <v>136</v>
      </c>
      <c r="D35" t="s">
        <v>28</v>
      </c>
      <c r="E35" t="b">
        <v>1</v>
      </c>
      <c r="H35">
        <v>0</v>
      </c>
    </row>
    <row r="36" spans="1:8" x14ac:dyDescent="0.4">
      <c r="A36" t="s">
        <v>143</v>
      </c>
      <c r="B36" t="s">
        <v>286</v>
      </c>
      <c r="D36" t="s">
        <v>28</v>
      </c>
      <c r="E36" t="b">
        <v>0</v>
      </c>
      <c r="H36">
        <v>0</v>
      </c>
    </row>
    <row r="37" spans="1:8" x14ac:dyDescent="0.4">
      <c r="A37" t="s">
        <v>143</v>
      </c>
      <c r="B37" t="s">
        <v>287</v>
      </c>
      <c r="D37" t="s">
        <v>28</v>
      </c>
      <c r="E37" t="b">
        <v>0</v>
      </c>
      <c r="H37">
        <v>0</v>
      </c>
    </row>
    <row r="38" spans="1:8" x14ac:dyDescent="0.4">
      <c r="A38" t="s">
        <v>145</v>
      </c>
      <c r="B38" t="s">
        <v>278</v>
      </c>
      <c r="C38" t="s">
        <v>136</v>
      </c>
      <c r="D38" t="s">
        <v>28</v>
      </c>
      <c r="E38" t="b">
        <v>1</v>
      </c>
      <c r="H38">
        <v>0</v>
      </c>
    </row>
    <row r="39" spans="1:8" x14ac:dyDescent="0.4">
      <c r="A39" t="s">
        <v>145</v>
      </c>
      <c r="B39" t="s">
        <v>288</v>
      </c>
      <c r="D39" t="s">
        <v>28</v>
      </c>
      <c r="E39" t="b">
        <v>0</v>
      </c>
      <c r="H39">
        <v>0</v>
      </c>
    </row>
    <row r="40" spans="1:8" x14ac:dyDescent="0.4">
      <c r="A40" t="s">
        <v>145</v>
      </c>
      <c r="B40" t="s">
        <v>279</v>
      </c>
      <c r="C40" t="s">
        <v>136</v>
      </c>
      <c r="D40" t="s">
        <v>28</v>
      </c>
      <c r="E40" t="b">
        <v>1</v>
      </c>
      <c r="H40">
        <v>0</v>
      </c>
    </row>
    <row r="41" spans="1:8" x14ac:dyDescent="0.4">
      <c r="A41" t="s">
        <v>145</v>
      </c>
      <c r="B41" t="s">
        <v>281</v>
      </c>
      <c r="C41" t="s">
        <v>136</v>
      </c>
      <c r="D41" t="s">
        <v>28</v>
      </c>
      <c r="E41" t="b">
        <v>1</v>
      </c>
      <c r="H41">
        <v>0</v>
      </c>
    </row>
    <row r="42" spans="1:8" x14ac:dyDescent="0.4">
      <c r="A42" t="s">
        <v>145</v>
      </c>
      <c r="B42" t="s">
        <v>282</v>
      </c>
      <c r="C42" t="s">
        <v>136</v>
      </c>
      <c r="D42" t="s">
        <v>28</v>
      </c>
      <c r="E42" t="b">
        <v>1</v>
      </c>
      <c r="H42">
        <v>0</v>
      </c>
    </row>
    <row r="43" spans="1:8" x14ac:dyDescent="0.4">
      <c r="A43" t="s">
        <v>145</v>
      </c>
      <c r="B43" t="s">
        <v>283</v>
      </c>
      <c r="D43" t="s">
        <v>28</v>
      </c>
      <c r="E43" t="b">
        <v>0</v>
      </c>
      <c r="H43">
        <v>0</v>
      </c>
    </row>
    <row r="44" spans="1:8" x14ac:dyDescent="0.4">
      <c r="A44" t="s">
        <v>145</v>
      </c>
      <c r="B44" t="s">
        <v>284</v>
      </c>
      <c r="C44" t="s">
        <v>136</v>
      </c>
      <c r="D44" t="s">
        <v>28</v>
      </c>
      <c r="E44" t="b">
        <v>1</v>
      </c>
      <c r="H44">
        <v>0</v>
      </c>
    </row>
    <row r="45" spans="1:8" x14ac:dyDescent="0.4">
      <c r="A45" t="s">
        <v>145</v>
      </c>
      <c r="B45" t="s">
        <v>285</v>
      </c>
      <c r="D45" t="s">
        <v>28</v>
      </c>
      <c r="E45" t="b">
        <v>0</v>
      </c>
      <c r="H45">
        <v>0</v>
      </c>
    </row>
    <row r="46" spans="1:8" x14ac:dyDescent="0.4">
      <c r="A46" t="s">
        <v>145</v>
      </c>
      <c r="B46" t="s">
        <v>287</v>
      </c>
      <c r="D46" t="s">
        <v>28</v>
      </c>
      <c r="E46" t="b">
        <v>0</v>
      </c>
      <c r="H46">
        <v>0</v>
      </c>
    </row>
    <row r="47" spans="1:8" x14ac:dyDescent="0.4">
      <c r="A47" t="s">
        <v>147</v>
      </c>
      <c r="B47" t="s">
        <v>278</v>
      </c>
      <c r="C47" t="s">
        <v>136</v>
      </c>
      <c r="D47" t="s">
        <v>28</v>
      </c>
      <c r="E47" t="b">
        <v>1</v>
      </c>
      <c r="H47">
        <v>0</v>
      </c>
    </row>
    <row r="48" spans="1:8" x14ac:dyDescent="0.4">
      <c r="A48" t="s">
        <v>147</v>
      </c>
      <c r="B48" t="s">
        <v>288</v>
      </c>
      <c r="C48" t="s">
        <v>136</v>
      </c>
      <c r="D48" t="s">
        <v>28</v>
      </c>
      <c r="E48" t="b">
        <v>1</v>
      </c>
      <c r="H48">
        <v>0</v>
      </c>
    </row>
    <row r="49" spans="1:8" x14ac:dyDescent="0.4">
      <c r="A49" t="s">
        <v>147</v>
      </c>
      <c r="B49" t="s">
        <v>279</v>
      </c>
      <c r="C49" t="s">
        <v>136</v>
      </c>
      <c r="D49" t="s">
        <v>28</v>
      </c>
      <c r="E49" t="b">
        <v>1</v>
      </c>
      <c r="H49">
        <v>0</v>
      </c>
    </row>
    <row r="50" spans="1:8" x14ac:dyDescent="0.4">
      <c r="A50" t="s">
        <v>147</v>
      </c>
      <c r="B50" t="s">
        <v>281</v>
      </c>
      <c r="C50" t="s">
        <v>136</v>
      </c>
      <c r="D50" t="s">
        <v>28</v>
      </c>
      <c r="E50" t="b">
        <v>1</v>
      </c>
      <c r="H50">
        <v>0</v>
      </c>
    </row>
    <row r="51" spans="1:8" x14ac:dyDescent="0.4">
      <c r="A51" t="s">
        <v>147</v>
      </c>
      <c r="B51" t="s">
        <v>282</v>
      </c>
      <c r="C51" t="s">
        <v>136</v>
      </c>
      <c r="D51" t="s">
        <v>28</v>
      </c>
      <c r="E51" t="b">
        <v>1</v>
      </c>
      <c r="H51">
        <v>0</v>
      </c>
    </row>
    <row r="52" spans="1:8" x14ac:dyDescent="0.4">
      <c r="A52" t="s">
        <v>147</v>
      </c>
      <c r="B52" t="s">
        <v>283</v>
      </c>
      <c r="C52" t="s">
        <v>136</v>
      </c>
      <c r="D52" t="s">
        <v>28</v>
      </c>
      <c r="E52" t="b">
        <v>1</v>
      </c>
      <c r="H52">
        <v>0</v>
      </c>
    </row>
    <row r="53" spans="1:8" x14ac:dyDescent="0.4">
      <c r="A53" t="s">
        <v>147</v>
      </c>
      <c r="B53" t="s">
        <v>284</v>
      </c>
      <c r="D53" t="s">
        <v>28</v>
      </c>
      <c r="E53" t="b">
        <v>0</v>
      </c>
      <c r="H53">
        <v>0</v>
      </c>
    </row>
    <row r="54" spans="1:8" x14ac:dyDescent="0.4">
      <c r="A54" t="s">
        <v>147</v>
      </c>
      <c r="B54" t="s">
        <v>285</v>
      </c>
      <c r="D54" t="s">
        <v>28</v>
      </c>
      <c r="E54" t="b">
        <v>0</v>
      </c>
      <c r="H54">
        <v>0</v>
      </c>
    </row>
    <row r="55" spans="1:8" x14ac:dyDescent="0.4">
      <c r="A55" t="s">
        <v>147</v>
      </c>
      <c r="B55" t="s">
        <v>287</v>
      </c>
      <c r="D55" t="s">
        <v>28</v>
      </c>
      <c r="E55" t="b">
        <v>0</v>
      </c>
      <c r="H55">
        <v>0</v>
      </c>
    </row>
    <row r="56" spans="1:8" x14ac:dyDescent="0.4">
      <c r="A56" t="s">
        <v>149</v>
      </c>
      <c r="B56" t="s">
        <v>289</v>
      </c>
      <c r="D56" t="s">
        <v>290</v>
      </c>
      <c r="E56" t="b">
        <v>0</v>
      </c>
      <c r="H56">
        <v>0</v>
      </c>
    </row>
    <row r="57" spans="1:8" x14ac:dyDescent="0.4">
      <c r="A57" t="s">
        <v>149</v>
      </c>
      <c r="B57" t="s">
        <v>291</v>
      </c>
      <c r="D57" t="s">
        <v>290</v>
      </c>
      <c r="E57" t="b">
        <v>0</v>
      </c>
      <c r="H57">
        <v>0</v>
      </c>
    </row>
    <row r="58" spans="1:8" x14ac:dyDescent="0.4">
      <c r="A58" t="s">
        <v>149</v>
      </c>
      <c r="B58" t="s">
        <v>292</v>
      </c>
      <c r="C58" t="s">
        <v>136</v>
      </c>
      <c r="D58" t="s">
        <v>293</v>
      </c>
      <c r="E58" t="b">
        <v>1</v>
      </c>
      <c r="H58">
        <v>0</v>
      </c>
    </row>
    <row r="59" spans="1:8" x14ac:dyDescent="0.4">
      <c r="A59" t="s">
        <v>149</v>
      </c>
      <c r="B59" t="s">
        <v>294</v>
      </c>
      <c r="C59" t="s">
        <v>136</v>
      </c>
      <c r="D59" t="s">
        <v>293</v>
      </c>
      <c r="E59" t="b">
        <v>1</v>
      </c>
      <c r="H59">
        <v>0</v>
      </c>
    </row>
    <row r="60" spans="1:8" x14ac:dyDescent="0.4">
      <c r="A60" t="s">
        <v>149</v>
      </c>
      <c r="B60" t="s">
        <v>295</v>
      </c>
      <c r="C60" t="s">
        <v>136</v>
      </c>
      <c r="D60" t="s">
        <v>293</v>
      </c>
      <c r="E60" t="b">
        <v>1</v>
      </c>
      <c r="H60">
        <v>0</v>
      </c>
    </row>
    <row r="61" spans="1:8" x14ac:dyDescent="0.4">
      <c r="A61" t="s">
        <v>149</v>
      </c>
      <c r="B61" t="s">
        <v>296</v>
      </c>
      <c r="C61" t="s">
        <v>136</v>
      </c>
      <c r="D61" t="s">
        <v>293</v>
      </c>
      <c r="E61" t="b">
        <v>1</v>
      </c>
      <c r="H61">
        <v>0</v>
      </c>
    </row>
    <row r="62" spans="1:8" x14ac:dyDescent="0.4">
      <c r="A62" t="s">
        <v>149</v>
      </c>
      <c r="B62" t="s">
        <v>297</v>
      </c>
      <c r="C62" t="s">
        <v>136</v>
      </c>
      <c r="D62" t="s">
        <v>293</v>
      </c>
      <c r="E62" t="b">
        <v>1</v>
      </c>
      <c r="H62">
        <v>0</v>
      </c>
    </row>
    <row r="63" spans="1:8" x14ac:dyDescent="0.4">
      <c r="A63" t="s">
        <v>149</v>
      </c>
      <c r="B63" t="s">
        <v>298</v>
      </c>
      <c r="C63" t="s">
        <v>136</v>
      </c>
      <c r="D63" t="s">
        <v>293</v>
      </c>
      <c r="E63" t="b">
        <v>1</v>
      </c>
      <c r="H63">
        <v>0</v>
      </c>
    </row>
    <row r="64" spans="1:8" x14ac:dyDescent="0.4">
      <c r="A64" t="s">
        <v>149</v>
      </c>
      <c r="B64" t="s">
        <v>299</v>
      </c>
      <c r="C64" t="s">
        <v>136</v>
      </c>
      <c r="D64" t="s">
        <v>293</v>
      </c>
      <c r="E64" t="b">
        <v>1</v>
      </c>
      <c r="H64">
        <v>0</v>
      </c>
    </row>
    <row r="65" spans="1:8" x14ac:dyDescent="0.4">
      <c r="A65" t="s">
        <v>149</v>
      </c>
      <c r="B65" t="s">
        <v>300</v>
      </c>
      <c r="D65" t="s">
        <v>290</v>
      </c>
      <c r="E65" t="b">
        <v>0</v>
      </c>
      <c r="H65">
        <v>0</v>
      </c>
    </row>
    <row r="66" spans="1:8" x14ac:dyDescent="0.4">
      <c r="A66" t="s">
        <v>149</v>
      </c>
      <c r="B66" t="s">
        <v>301</v>
      </c>
      <c r="D66" t="s">
        <v>293</v>
      </c>
      <c r="E66" t="b">
        <v>0</v>
      </c>
      <c r="H66">
        <v>0</v>
      </c>
    </row>
    <row r="67" spans="1:8" x14ac:dyDescent="0.4">
      <c r="A67" t="s">
        <v>149</v>
      </c>
      <c r="B67" t="s">
        <v>302</v>
      </c>
      <c r="D67" t="s">
        <v>293</v>
      </c>
      <c r="E67" t="b">
        <v>0</v>
      </c>
      <c r="H67">
        <v>0</v>
      </c>
    </row>
    <row r="68" spans="1:8" x14ac:dyDescent="0.4">
      <c r="A68" t="s">
        <v>149</v>
      </c>
      <c r="B68" t="s">
        <v>303</v>
      </c>
      <c r="D68" t="s">
        <v>293</v>
      </c>
      <c r="E68" t="b">
        <v>0</v>
      </c>
      <c r="H68">
        <v>0</v>
      </c>
    </row>
    <row r="69" spans="1:8" x14ac:dyDescent="0.4">
      <c r="A69" t="s">
        <v>149</v>
      </c>
      <c r="B69" t="s">
        <v>286</v>
      </c>
      <c r="D69" t="s">
        <v>55</v>
      </c>
      <c r="E69" t="b">
        <v>0</v>
      </c>
      <c r="H69">
        <v>0</v>
      </c>
    </row>
    <row r="70" spans="1:8" x14ac:dyDescent="0.4">
      <c r="A70" t="s">
        <v>152</v>
      </c>
      <c r="B70" t="s">
        <v>304</v>
      </c>
      <c r="D70" t="s">
        <v>290</v>
      </c>
      <c r="E70" t="b">
        <v>0</v>
      </c>
      <c r="H70">
        <v>0</v>
      </c>
    </row>
    <row r="71" spans="1:8" x14ac:dyDescent="0.4">
      <c r="A71" t="s">
        <v>152</v>
      </c>
      <c r="B71" t="s">
        <v>305</v>
      </c>
      <c r="D71" t="s">
        <v>290</v>
      </c>
      <c r="E71" t="b">
        <v>0</v>
      </c>
      <c r="H71">
        <v>0</v>
      </c>
    </row>
    <row r="72" spans="1:8" x14ac:dyDescent="0.4">
      <c r="A72" t="s">
        <v>152</v>
      </c>
      <c r="B72" t="s">
        <v>306</v>
      </c>
      <c r="D72" t="s">
        <v>293</v>
      </c>
      <c r="E72" t="b">
        <v>0</v>
      </c>
      <c r="H72">
        <v>0</v>
      </c>
    </row>
    <row r="73" spans="1:8" x14ac:dyDescent="0.4">
      <c r="A73" t="s">
        <v>152</v>
      </c>
      <c r="B73" t="s">
        <v>294</v>
      </c>
      <c r="D73" t="s">
        <v>293</v>
      </c>
      <c r="E73" t="b">
        <v>0</v>
      </c>
      <c r="H73">
        <v>0</v>
      </c>
    </row>
    <row r="74" spans="1:8" x14ac:dyDescent="0.4">
      <c r="A74" t="s">
        <v>152</v>
      </c>
      <c r="B74" t="s">
        <v>295</v>
      </c>
      <c r="D74" t="s">
        <v>293</v>
      </c>
      <c r="E74" t="b">
        <v>0</v>
      </c>
      <c r="H74">
        <v>0</v>
      </c>
    </row>
    <row r="75" spans="1:8" x14ac:dyDescent="0.4">
      <c r="A75" t="s">
        <v>152</v>
      </c>
      <c r="B75" t="s">
        <v>296</v>
      </c>
      <c r="D75" t="s">
        <v>293</v>
      </c>
      <c r="E75" t="b">
        <v>0</v>
      </c>
      <c r="H75">
        <v>0</v>
      </c>
    </row>
    <row r="76" spans="1:8" x14ac:dyDescent="0.4">
      <c r="A76" t="s">
        <v>152</v>
      </c>
      <c r="B76" t="s">
        <v>297</v>
      </c>
      <c r="D76" t="s">
        <v>293</v>
      </c>
      <c r="E76" t="b">
        <v>0</v>
      </c>
      <c r="H76">
        <v>0</v>
      </c>
    </row>
    <row r="77" spans="1:8" x14ac:dyDescent="0.4">
      <c r="A77" t="s">
        <v>152</v>
      </c>
      <c r="B77" t="s">
        <v>298</v>
      </c>
      <c r="D77" t="s">
        <v>293</v>
      </c>
      <c r="E77" t="b">
        <v>0</v>
      </c>
      <c r="H77">
        <v>0</v>
      </c>
    </row>
    <row r="78" spans="1:8" x14ac:dyDescent="0.4">
      <c r="A78" t="s">
        <v>152</v>
      </c>
      <c r="B78" t="s">
        <v>299</v>
      </c>
      <c r="D78" t="s">
        <v>293</v>
      </c>
      <c r="E78" t="b">
        <v>0</v>
      </c>
      <c r="H78">
        <v>0</v>
      </c>
    </row>
    <row r="79" spans="1:8" x14ac:dyDescent="0.4">
      <c r="A79" t="s">
        <v>152</v>
      </c>
      <c r="B79" t="s">
        <v>307</v>
      </c>
      <c r="D79" t="s">
        <v>290</v>
      </c>
      <c r="E79" t="b">
        <v>0</v>
      </c>
      <c r="H79">
        <v>0</v>
      </c>
    </row>
    <row r="80" spans="1:8" x14ac:dyDescent="0.4">
      <c r="A80" t="s">
        <v>152</v>
      </c>
      <c r="B80" t="s">
        <v>286</v>
      </c>
      <c r="D80" t="s">
        <v>55</v>
      </c>
      <c r="E80" t="b">
        <v>0</v>
      </c>
      <c r="H80">
        <v>0</v>
      </c>
    </row>
    <row r="81" spans="1:8" x14ac:dyDescent="0.4">
      <c r="A81" t="s">
        <v>152</v>
      </c>
      <c r="B81" t="s">
        <v>308</v>
      </c>
      <c r="D81" t="s">
        <v>293</v>
      </c>
      <c r="E81" t="b">
        <v>0</v>
      </c>
      <c r="H81">
        <v>0</v>
      </c>
    </row>
    <row r="82" spans="1:8" x14ac:dyDescent="0.4">
      <c r="A82" t="s">
        <v>154</v>
      </c>
      <c r="B82" t="s">
        <v>294</v>
      </c>
      <c r="C82" t="s">
        <v>136</v>
      </c>
      <c r="D82" t="s">
        <v>293</v>
      </c>
      <c r="E82" t="b">
        <v>1</v>
      </c>
      <c r="H82">
        <v>0</v>
      </c>
    </row>
    <row r="83" spans="1:8" x14ac:dyDescent="0.4">
      <c r="A83" t="s">
        <v>154</v>
      </c>
      <c r="B83" t="s">
        <v>295</v>
      </c>
      <c r="C83" t="s">
        <v>136</v>
      </c>
      <c r="D83" t="s">
        <v>293</v>
      </c>
      <c r="E83" t="b">
        <v>1</v>
      </c>
      <c r="H83">
        <v>0</v>
      </c>
    </row>
    <row r="84" spans="1:8" x14ac:dyDescent="0.4">
      <c r="A84" t="s">
        <v>154</v>
      </c>
      <c r="B84" t="s">
        <v>309</v>
      </c>
      <c r="C84" t="s">
        <v>136</v>
      </c>
      <c r="D84" t="s">
        <v>293</v>
      </c>
      <c r="E84" t="b">
        <v>1</v>
      </c>
      <c r="H84">
        <v>0</v>
      </c>
    </row>
    <row r="85" spans="1:8" x14ac:dyDescent="0.4">
      <c r="A85" t="s">
        <v>154</v>
      </c>
      <c r="B85" t="s">
        <v>310</v>
      </c>
      <c r="C85" t="s">
        <v>136</v>
      </c>
      <c r="D85" t="s">
        <v>293</v>
      </c>
      <c r="E85" t="b">
        <v>1</v>
      </c>
      <c r="H85">
        <v>0</v>
      </c>
    </row>
    <row r="86" spans="1:8" x14ac:dyDescent="0.4">
      <c r="A86" t="s">
        <v>154</v>
      </c>
      <c r="B86" t="s">
        <v>297</v>
      </c>
      <c r="C86" t="s">
        <v>136</v>
      </c>
      <c r="D86" t="s">
        <v>293</v>
      </c>
      <c r="E86" t="b">
        <v>1</v>
      </c>
      <c r="H86">
        <v>0</v>
      </c>
    </row>
    <row r="87" spans="1:8" x14ac:dyDescent="0.4">
      <c r="A87" t="s">
        <v>154</v>
      </c>
      <c r="B87" t="s">
        <v>298</v>
      </c>
      <c r="C87" t="s">
        <v>136</v>
      </c>
      <c r="D87" t="s">
        <v>293</v>
      </c>
      <c r="E87" t="b">
        <v>1</v>
      </c>
      <c r="H87">
        <v>0</v>
      </c>
    </row>
    <row r="88" spans="1:8" x14ac:dyDescent="0.4">
      <c r="A88" t="s">
        <v>154</v>
      </c>
      <c r="B88" t="s">
        <v>299</v>
      </c>
      <c r="C88" t="s">
        <v>136</v>
      </c>
      <c r="D88" t="s">
        <v>293</v>
      </c>
      <c r="E88" t="b">
        <v>1</v>
      </c>
      <c r="H88">
        <v>0</v>
      </c>
    </row>
    <row r="89" spans="1:8" x14ac:dyDescent="0.4">
      <c r="A89" t="s">
        <v>154</v>
      </c>
      <c r="B89" t="s">
        <v>311</v>
      </c>
      <c r="D89" t="s">
        <v>55</v>
      </c>
      <c r="E89" t="b">
        <v>0</v>
      </c>
      <c r="H89">
        <v>0</v>
      </c>
    </row>
    <row r="90" spans="1:8" x14ac:dyDescent="0.4">
      <c r="A90" t="s">
        <v>154</v>
      </c>
      <c r="B90" t="s">
        <v>312</v>
      </c>
      <c r="D90" t="s">
        <v>55</v>
      </c>
      <c r="E90" t="b">
        <v>0</v>
      </c>
      <c r="H90">
        <v>0</v>
      </c>
    </row>
    <row r="91" spans="1:8" x14ac:dyDescent="0.4">
      <c r="A91" t="s">
        <v>154</v>
      </c>
      <c r="B91" t="s">
        <v>313</v>
      </c>
      <c r="C91" t="s">
        <v>136</v>
      </c>
      <c r="D91" t="s">
        <v>293</v>
      </c>
      <c r="E91" t="b">
        <v>1</v>
      </c>
      <c r="H91">
        <v>0</v>
      </c>
    </row>
    <row r="92" spans="1:8" x14ac:dyDescent="0.4">
      <c r="A92" t="s">
        <v>156</v>
      </c>
      <c r="B92" t="s">
        <v>314</v>
      </c>
      <c r="C92" t="s">
        <v>136</v>
      </c>
      <c r="D92" t="s">
        <v>28</v>
      </c>
      <c r="E92" t="b">
        <v>1</v>
      </c>
      <c r="H92">
        <v>0</v>
      </c>
    </row>
    <row r="93" spans="1:8" x14ac:dyDescent="0.4">
      <c r="A93" t="s">
        <v>156</v>
      </c>
      <c r="B93" t="s">
        <v>315</v>
      </c>
      <c r="C93" t="s">
        <v>136</v>
      </c>
      <c r="D93" t="s">
        <v>28</v>
      </c>
      <c r="E93" t="b">
        <v>1</v>
      </c>
      <c r="H93">
        <v>0</v>
      </c>
    </row>
    <row r="94" spans="1:8" x14ac:dyDescent="0.4">
      <c r="A94" t="s">
        <v>156</v>
      </c>
      <c r="B94" t="s">
        <v>316</v>
      </c>
      <c r="C94" t="s">
        <v>136</v>
      </c>
      <c r="D94" t="s">
        <v>28</v>
      </c>
      <c r="E94" t="b">
        <v>1</v>
      </c>
      <c r="H94">
        <v>0</v>
      </c>
    </row>
    <row r="95" spans="1:8" x14ac:dyDescent="0.4">
      <c r="A95" t="s">
        <v>156</v>
      </c>
      <c r="B95" t="s">
        <v>317</v>
      </c>
      <c r="C95" t="s">
        <v>136</v>
      </c>
      <c r="D95" t="s">
        <v>28</v>
      </c>
      <c r="E95" t="b">
        <v>1</v>
      </c>
      <c r="H95">
        <v>0</v>
      </c>
    </row>
    <row r="96" spans="1:8" x14ac:dyDescent="0.4">
      <c r="A96" t="s">
        <v>156</v>
      </c>
      <c r="B96" t="s">
        <v>318</v>
      </c>
      <c r="D96" t="s">
        <v>28</v>
      </c>
      <c r="E96" t="b">
        <v>0</v>
      </c>
      <c r="H96">
        <v>0</v>
      </c>
    </row>
    <row r="97" spans="1:8" x14ac:dyDescent="0.4">
      <c r="A97" t="s">
        <v>156</v>
      </c>
      <c r="B97" t="s">
        <v>319</v>
      </c>
      <c r="D97" t="s">
        <v>28</v>
      </c>
      <c r="E97" t="b">
        <v>0</v>
      </c>
      <c r="H97">
        <v>0</v>
      </c>
    </row>
    <row r="98" spans="1:8" x14ac:dyDescent="0.4">
      <c r="A98" t="s">
        <v>158</v>
      </c>
      <c r="B98" t="s">
        <v>294</v>
      </c>
      <c r="C98" t="s">
        <v>136</v>
      </c>
      <c r="D98" t="s">
        <v>11</v>
      </c>
      <c r="E98" t="b">
        <v>1</v>
      </c>
      <c r="H98">
        <v>0</v>
      </c>
    </row>
    <row r="99" spans="1:8" x14ac:dyDescent="0.4">
      <c r="A99" t="s">
        <v>158</v>
      </c>
      <c r="B99" t="s">
        <v>295</v>
      </c>
      <c r="C99" t="s">
        <v>136</v>
      </c>
      <c r="D99" t="s">
        <v>11</v>
      </c>
      <c r="E99" t="b">
        <v>1</v>
      </c>
      <c r="H99">
        <v>0</v>
      </c>
    </row>
    <row r="100" spans="1:8" x14ac:dyDescent="0.4">
      <c r="A100" t="s">
        <v>158</v>
      </c>
      <c r="B100" t="s">
        <v>309</v>
      </c>
      <c r="C100" t="s">
        <v>136</v>
      </c>
      <c r="D100" t="s">
        <v>11</v>
      </c>
      <c r="E100" t="b">
        <v>1</v>
      </c>
      <c r="H100">
        <v>0</v>
      </c>
    </row>
    <row r="101" spans="1:8" x14ac:dyDescent="0.4">
      <c r="A101" t="s">
        <v>158</v>
      </c>
      <c r="B101" t="s">
        <v>310</v>
      </c>
      <c r="C101" t="s">
        <v>136</v>
      </c>
      <c r="D101" t="s">
        <v>11</v>
      </c>
      <c r="E101" t="b">
        <v>1</v>
      </c>
      <c r="H101">
        <v>0</v>
      </c>
    </row>
    <row r="102" spans="1:8" x14ac:dyDescent="0.4">
      <c r="A102" t="s">
        <v>158</v>
      </c>
      <c r="B102" t="s">
        <v>297</v>
      </c>
      <c r="C102" t="s">
        <v>136</v>
      </c>
      <c r="D102" t="s">
        <v>11</v>
      </c>
      <c r="E102" t="b">
        <v>1</v>
      </c>
      <c r="H102">
        <v>0</v>
      </c>
    </row>
    <row r="103" spans="1:8" x14ac:dyDescent="0.4">
      <c r="A103" t="s">
        <v>158</v>
      </c>
      <c r="B103" t="s">
        <v>298</v>
      </c>
      <c r="C103" t="s">
        <v>136</v>
      </c>
      <c r="D103" t="s">
        <v>11</v>
      </c>
      <c r="E103" t="b">
        <v>1</v>
      </c>
      <c r="H103">
        <v>0</v>
      </c>
    </row>
    <row r="104" spans="1:8" x14ac:dyDescent="0.4">
      <c r="A104" t="s">
        <v>158</v>
      </c>
      <c r="B104" t="s">
        <v>299</v>
      </c>
      <c r="C104" t="s">
        <v>136</v>
      </c>
      <c r="D104" t="s">
        <v>11</v>
      </c>
      <c r="E104" t="b">
        <v>1</v>
      </c>
      <c r="H104">
        <v>0</v>
      </c>
    </row>
    <row r="105" spans="1:8" x14ac:dyDescent="0.4">
      <c r="A105" t="s">
        <v>158</v>
      </c>
      <c r="B105" t="s">
        <v>320</v>
      </c>
      <c r="D105" t="s">
        <v>11</v>
      </c>
      <c r="E105" t="b">
        <v>0</v>
      </c>
      <c r="H105">
        <v>0</v>
      </c>
    </row>
    <row r="106" spans="1:8" x14ac:dyDescent="0.4">
      <c r="A106" t="s">
        <v>158</v>
      </c>
      <c r="B106" t="s">
        <v>321</v>
      </c>
      <c r="D106" t="s">
        <v>11</v>
      </c>
      <c r="E106" t="b">
        <v>0</v>
      </c>
      <c r="H106">
        <v>0</v>
      </c>
    </row>
    <row r="107" spans="1:8" x14ac:dyDescent="0.4">
      <c r="A107" t="s">
        <v>158</v>
      </c>
      <c r="B107" t="s">
        <v>322</v>
      </c>
      <c r="C107" t="s">
        <v>136</v>
      </c>
      <c r="D107" t="s">
        <v>11</v>
      </c>
      <c r="E107" t="b">
        <v>1</v>
      </c>
      <c r="H107">
        <v>0</v>
      </c>
    </row>
    <row r="108" spans="1:8" x14ac:dyDescent="0.4">
      <c r="A108" t="s">
        <v>160</v>
      </c>
      <c r="B108" t="s">
        <v>323</v>
      </c>
      <c r="C108" t="s">
        <v>136</v>
      </c>
      <c r="D108" t="s">
        <v>28</v>
      </c>
      <c r="E108" t="b">
        <v>1</v>
      </c>
      <c r="H108">
        <v>0</v>
      </c>
    </row>
    <row r="109" spans="1:8" x14ac:dyDescent="0.4">
      <c r="A109" t="s">
        <v>160</v>
      </c>
      <c r="B109" t="s">
        <v>324</v>
      </c>
      <c r="C109" t="s">
        <v>136</v>
      </c>
      <c r="D109" t="s">
        <v>28</v>
      </c>
      <c r="E109" t="b">
        <v>1</v>
      </c>
      <c r="H109">
        <v>0</v>
      </c>
    </row>
    <row r="110" spans="1:8" x14ac:dyDescent="0.4">
      <c r="A110" t="s">
        <v>160</v>
      </c>
      <c r="B110" t="s">
        <v>325</v>
      </c>
      <c r="C110" t="s">
        <v>136</v>
      </c>
      <c r="D110" t="s">
        <v>28</v>
      </c>
      <c r="E110" t="b">
        <v>1</v>
      </c>
      <c r="H110">
        <v>0</v>
      </c>
    </row>
    <row r="111" spans="1:8" x14ac:dyDescent="0.4">
      <c r="A111" t="s">
        <v>160</v>
      </c>
      <c r="B111" t="s">
        <v>326</v>
      </c>
      <c r="C111" t="s">
        <v>136</v>
      </c>
      <c r="D111" t="s">
        <v>28</v>
      </c>
      <c r="E111" t="b">
        <v>1</v>
      </c>
      <c r="H111">
        <v>0</v>
      </c>
    </row>
    <row r="112" spans="1:8" x14ac:dyDescent="0.4">
      <c r="A112" t="s">
        <v>160</v>
      </c>
      <c r="B112" t="s">
        <v>327</v>
      </c>
      <c r="C112" t="s">
        <v>136</v>
      </c>
      <c r="D112" t="s">
        <v>28</v>
      </c>
      <c r="E112" t="b">
        <v>1</v>
      </c>
      <c r="H112">
        <v>0</v>
      </c>
    </row>
    <row r="113" spans="1:8" x14ac:dyDescent="0.4">
      <c r="A113" t="s">
        <v>160</v>
      </c>
      <c r="B113" t="s">
        <v>328</v>
      </c>
      <c r="D113" t="s">
        <v>28</v>
      </c>
      <c r="E113" t="b">
        <v>0</v>
      </c>
      <c r="H113">
        <v>0</v>
      </c>
    </row>
    <row r="114" spans="1:8" x14ac:dyDescent="0.4">
      <c r="A114" t="s">
        <v>162</v>
      </c>
      <c r="B114" t="s">
        <v>294</v>
      </c>
      <c r="C114" t="s">
        <v>136</v>
      </c>
      <c r="D114" t="s">
        <v>11</v>
      </c>
      <c r="E114" t="b">
        <v>1</v>
      </c>
      <c r="H114">
        <v>0</v>
      </c>
    </row>
    <row r="115" spans="1:8" x14ac:dyDescent="0.4">
      <c r="A115" t="s">
        <v>162</v>
      </c>
      <c r="B115" t="s">
        <v>295</v>
      </c>
      <c r="C115" t="s">
        <v>136</v>
      </c>
      <c r="D115" t="s">
        <v>11</v>
      </c>
      <c r="E115" t="b">
        <v>1</v>
      </c>
      <c r="H115">
        <v>0</v>
      </c>
    </row>
    <row r="116" spans="1:8" x14ac:dyDescent="0.4">
      <c r="A116" t="s">
        <v>162</v>
      </c>
      <c r="B116" t="s">
        <v>309</v>
      </c>
      <c r="C116" t="s">
        <v>136</v>
      </c>
      <c r="D116" t="s">
        <v>11</v>
      </c>
      <c r="E116" t="b">
        <v>1</v>
      </c>
      <c r="H116">
        <v>0</v>
      </c>
    </row>
    <row r="117" spans="1:8" x14ac:dyDescent="0.4">
      <c r="A117" t="s">
        <v>162</v>
      </c>
      <c r="B117" t="s">
        <v>310</v>
      </c>
      <c r="C117" t="s">
        <v>136</v>
      </c>
      <c r="D117" t="s">
        <v>11</v>
      </c>
      <c r="E117" t="b">
        <v>1</v>
      </c>
      <c r="H117">
        <v>0</v>
      </c>
    </row>
    <row r="118" spans="1:8" x14ac:dyDescent="0.4">
      <c r="A118" t="s">
        <v>162</v>
      </c>
      <c r="B118" t="s">
        <v>297</v>
      </c>
      <c r="C118" t="s">
        <v>136</v>
      </c>
      <c r="D118" t="s">
        <v>11</v>
      </c>
      <c r="E118" t="b">
        <v>1</v>
      </c>
      <c r="H118">
        <v>0</v>
      </c>
    </row>
    <row r="119" spans="1:8" x14ac:dyDescent="0.4">
      <c r="A119" t="s">
        <v>162</v>
      </c>
      <c r="B119" t="s">
        <v>298</v>
      </c>
      <c r="C119" t="s">
        <v>136</v>
      </c>
      <c r="D119" t="s">
        <v>11</v>
      </c>
      <c r="E119" t="b">
        <v>1</v>
      </c>
      <c r="H119">
        <v>0</v>
      </c>
    </row>
    <row r="120" spans="1:8" x14ac:dyDescent="0.4">
      <c r="A120" t="s">
        <v>162</v>
      </c>
      <c r="B120" t="s">
        <v>299</v>
      </c>
      <c r="C120" t="s">
        <v>136</v>
      </c>
      <c r="D120" t="s">
        <v>11</v>
      </c>
      <c r="E120" t="b">
        <v>1</v>
      </c>
      <c r="H120">
        <v>0</v>
      </c>
    </row>
    <row r="121" spans="1:8" x14ac:dyDescent="0.4">
      <c r="A121" t="s">
        <v>162</v>
      </c>
      <c r="B121" t="s">
        <v>329</v>
      </c>
      <c r="D121" t="s">
        <v>11</v>
      </c>
      <c r="E121" t="b">
        <v>0</v>
      </c>
      <c r="H121">
        <v>0</v>
      </c>
    </row>
    <row r="122" spans="1:8" x14ac:dyDescent="0.4">
      <c r="A122" t="s">
        <v>162</v>
      </c>
      <c r="B122" t="s">
        <v>330</v>
      </c>
      <c r="D122" t="s">
        <v>11</v>
      </c>
      <c r="E122" t="b">
        <v>0</v>
      </c>
      <c r="H122">
        <v>0</v>
      </c>
    </row>
    <row r="123" spans="1:8" x14ac:dyDescent="0.4">
      <c r="A123" t="s">
        <v>162</v>
      </c>
      <c r="B123" t="s">
        <v>331</v>
      </c>
      <c r="D123" t="s">
        <v>11</v>
      </c>
      <c r="E123" t="b">
        <v>0</v>
      </c>
      <c r="H123">
        <v>0</v>
      </c>
    </row>
    <row r="124" spans="1:8" x14ac:dyDescent="0.4">
      <c r="A124" t="s">
        <v>164</v>
      </c>
      <c r="B124" t="s">
        <v>332</v>
      </c>
      <c r="D124" t="s">
        <v>28</v>
      </c>
      <c r="E124" t="b">
        <v>0</v>
      </c>
      <c r="H124">
        <v>0</v>
      </c>
    </row>
    <row r="125" spans="1:8" x14ac:dyDescent="0.4">
      <c r="A125" t="s">
        <v>164</v>
      </c>
      <c r="B125" t="s">
        <v>333</v>
      </c>
      <c r="D125" t="s">
        <v>28</v>
      </c>
      <c r="E125" t="b">
        <v>0</v>
      </c>
      <c r="H125">
        <v>0</v>
      </c>
    </row>
    <row r="126" spans="1:8" x14ac:dyDescent="0.4">
      <c r="A126" t="s">
        <v>164</v>
      </c>
      <c r="B126" t="s">
        <v>334</v>
      </c>
      <c r="D126" t="s">
        <v>28</v>
      </c>
      <c r="E126" t="b">
        <v>0</v>
      </c>
      <c r="H126">
        <v>0</v>
      </c>
    </row>
    <row r="127" spans="1:8" x14ac:dyDescent="0.4">
      <c r="A127" t="s">
        <v>164</v>
      </c>
      <c r="B127" t="s">
        <v>335</v>
      </c>
      <c r="D127" t="s">
        <v>28</v>
      </c>
      <c r="E127" t="b">
        <v>0</v>
      </c>
      <c r="H127">
        <v>0</v>
      </c>
    </row>
    <row r="128" spans="1:8" x14ac:dyDescent="0.4">
      <c r="A128" t="s">
        <v>164</v>
      </c>
      <c r="B128" t="s">
        <v>336</v>
      </c>
      <c r="D128" t="s">
        <v>28</v>
      </c>
      <c r="E128" t="b">
        <v>0</v>
      </c>
      <c r="H128">
        <v>0</v>
      </c>
    </row>
    <row r="129" spans="1:8" x14ac:dyDescent="0.4">
      <c r="A129" t="s">
        <v>164</v>
      </c>
      <c r="B129" t="s">
        <v>337</v>
      </c>
      <c r="D129" t="s">
        <v>28</v>
      </c>
      <c r="E129" t="b">
        <v>0</v>
      </c>
      <c r="H129">
        <v>0</v>
      </c>
    </row>
    <row r="130" spans="1:8" x14ac:dyDescent="0.4">
      <c r="A130" t="s">
        <v>164</v>
      </c>
      <c r="B130" t="s">
        <v>338</v>
      </c>
      <c r="D130" t="s">
        <v>28</v>
      </c>
      <c r="E130" t="b">
        <v>0</v>
      </c>
      <c r="H130">
        <v>0</v>
      </c>
    </row>
    <row r="131" spans="1:8" x14ac:dyDescent="0.4">
      <c r="A131" t="s">
        <v>166</v>
      </c>
      <c r="B131" t="s">
        <v>294</v>
      </c>
      <c r="C131" t="s">
        <v>136</v>
      </c>
      <c r="D131" t="s">
        <v>11</v>
      </c>
      <c r="E131" t="b">
        <v>1</v>
      </c>
      <c r="H131">
        <v>0</v>
      </c>
    </row>
    <row r="132" spans="1:8" x14ac:dyDescent="0.4">
      <c r="A132" t="s">
        <v>166</v>
      </c>
      <c r="B132" t="s">
        <v>295</v>
      </c>
      <c r="C132" t="s">
        <v>136</v>
      </c>
      <c r="D132" t="s">
        <v>11</v>
      </c>
      <c r="E132" t="b">
        <v>1</v>
      </c>
      <c r="H132">
        <v>0</v>
      </c>
    </row>
    <row r="133" spans="1:8" x14ac:dyDescent="0.4">
      <c r="A133" t="s">
        <v>166</v>
      </c>
      <c r="B133" t="s">
        <v>309</v>
      </c>
      <c r="C133" t="s">
        <v>136</v>
      </c>
      <c r="D133" t="s">
        <v>11</v>
      </c>
      <c r="E133" t="b">
        <v>1</v>
      </c>
      <c r="H133">
        <v>0</v>
      </c>
    </row>
    <row r="134" spans="1:8" x14ac:dyDescent="0.4">
      <c r="A134" t="s">
        <v>166</v>
      </c>
      <c r="B134" t="s">
        <v>310</v>
      </c>
      <c r="C134" t="s">
        <v>136</v>
      </c>
      <c r="D134" t="s">
        <v>11</v>
      </c>
      <c r="E134" t="b">
        <v>1</v>
      </c>
      <c r="H134">
        <v>0</v>
      </c>
    </row>
    <row r="135" spans="1:8" x14ac:dyDescent="0.4">
      <c r="A135" t="s">
        <v>166</v>
      </c>
      <c r="B135" t="s">
        <v>297</v>
      </c>
      <c r="C135" t="s">
        <v>136</v>
      </c>
      <c r="D135" t="s">
        <v>11</v>
      </c>
      <c r="E135" t="b">
        <v>1</v>
      </c>
      <c r="H135">
        <v>0</v>
      </c>
    </row>
    <row r="136" spans="1:8" x14ac:dyDescent="0.4">
      <c r="A136" t="s">
        <v>166</v>
      </c>
      <c r="B136" t="s">
        <v>298</v>
      </c>
      <c r="C136" t="s">
        <v>136</v>
      </c>
      <c r="D136" t="s">
        <v>11</v>
      </c>
      <c r="E136" t="b">
        <v>1</v>
      </c>
      <c r="H136">
        <v>0</v>
      </c>
    </row>
    <row r="137" spans="1:8" x14ac:dyDescent="0.4">
      <c r="A137" t="s">
        <v>166</v>
      </c>
      <c r="B137" t="s">
        <v>299</v>
      </c>
      <c r="C137" t="s">
        <v>136</v>
      </c>
      <c r="D137" t="s">
        <v>11</v>
      </c>
      <c r="E137" t="b">
        <v>1</v>
      </c>
      <c r="H137">
        <v>0</v>
      </c>
    </row>
    <row r="138" spans="1:8" x14ac:dyDescent="0.4">
      <c r="A138" t="s">
        <v>166</v>
      </c>
      <c r="B138" t="s">
        <v>339</v>
      </c>
      <c r="D138" t="s">
        <v>11</v>
      </c>
      <c r="E138" t="b">
        <v>0</v>
      </c>
      <c r="H138">
        <v>0</v>
      </c>
    </row>
    <row r="139" spans="1:8" x14ac:dyDescent="0.4">
      <c r="A139" t="s">
        <v>166</v>
      </c>
      <c r="B139" t="s">
        <v>340</v>
      </c>
      <c r="D139" t="s">
        <v>11</v>
      </c>
      <c r="E139" t="b">
        <v>0</v>
      </c>
      <c r="H139">
        <v>0</v>
      </c>
    </row>
    <row r="140" spans="1:8" x14ac:dyDescent="0.4">
      <c r="A140" t="s">
        <v>166</v>
      </c>
      <c r="B140" t="s">
        <v>341</v>
      </c>
      <c r="D140" t="s">
        <v>11</v>
      </c>
      <c r="E140" t="b">
        <v>0</v>
      </c>
      <c r="H140">
        <v>0</v>
      </c>
    </row>
    <row r="141" spans="1:8" x14ac:dyDescent="0.4">
      <c r="A141" t="s">
        <v>168</v>
      </c>
      <c r="B141" t="s">
        <v>342</v>
      </c>
      <c r="D141" t="s">
        <v>46</v>
      </c>
      <c r="E141" t="b">
        <v>0</v>
      </c>
      <c r="H141">
        <v>0</v>
      </c>
    </row>
    <row r="142" spans="1:8" x14ac:dyDescent="0.4">
      <c r="A142" t="s">
        <v>168</v>
      </c>
      <c r="B142" t="s">
        <v>343</v>
      </c>
      <c r="D142" t="s">
        <v>46</v>
      </c>
      <c r="E142" t="b">
        <v>0</v>
      </c>
      <c r="H142">
        <v>0</v>
      </c>
    </row>
    <row r="143" spans="1:8" x14ac:dyDescent="0.4">
      <c r="A143" t="s">
        <v>168</v>
      </c>
      <c r="B143" t="s">
        <v>344</v>
      </c>
      <c r="D143" t="s">
        <v>46</v>
      </c>
      <c r="E143" t="b">
        <v>0</v>
      </c>
      <c r="H143">
        <v>0</v>
      </c>
    </row>
    <row r="144" spans="1:8" x14ac:dyDescent="0.4">
      <c r="A144" t="s">
        <v>168</v>
      </c>
      <c r="B144" t="s">
        <v>345</v>
      </c>
      <c r="D144" t="s">
        <v>46</v>
      </c>
      <c r="E144" t="b">
        <v>0</v>
      </c>
      <c r="H144">
        <v>0</v>
      </c>
    </row>
    <row r="145" spans="1:8" x14ac:dyDescent="0.4">
      <c r="A145" t="s">
        <v>168</v>
      </c>
      <c r="B145" t="s">
        <v>346</v>
      </c>
      <c r="D145" t="s">
        <v>46</v>
      </c>
      <c r="E145" t="b">
        <v>0</v>
      </c>
      <c r="H145">
        <v>0</v>
      </c>
    </row>
    <row r="146" spans="1:8" x14ac:dyDescent="0.4">
      <c r="A146" t="s">
        <v>168</v>
      </c>
      <c r="B146" t="s">
        <v>347</v>
      </c>
      <c r="D146" t="s">
        <v>46</v>
      </c>
      <c r="E146" t="b">
        <v>0</v>
      </c>
      <c r="H146">
        <v>0</v>
      </c>
    </row>
    <row r="147" spans="1:8" x14ac:dyDescent="0.4">
      <c r="A147" t="s">
        <v>170</v>
      </c>
      <c r="B147" t="s">
        <v>348</v>
      </c>
      <c r="C147" t="s">
        <v>136</v>
      </c>
      <c r="D147" t="s">
        <v>28</v>
      </c>
      <c r="E147" t="b">
        <v>1</v>
      </c>
      <c r="H147">
        <v>0</v>
      </c>
    </row>
    <row r="148" spans="1:8" x14ac:dyDescent="0.4">
      <c r="A148" t="s">
        <v>170</v>
      </c>
      <c r="B148" t="s">
        <v>279</v>
      </c>
      <c r="C148" t="s">
        <v>136</v>
      </c>
      <c r="D148" t="s">
        <v>28</v>
      </c>
      <c r="E148" t="b">
        <v>1</v>
      </c>
      <c r="H148">
        <v>0</v>
      </c>
    </row>
    <row r="149" spans="1:8" x14ac:dyDescent="0.4">
      <c r="A149" t="s">
        <v>170</v>
      </c>
      <c r="B149" t="s">
        <v>281</v>
      </c>
      <c r="C149" t="s">
        <v>136</v>
      </c>
      <c r="D149" t="s">
        <v>28</v>
      </c>
      <c r="E149" t="b">
        <v>1</v>
      </c>
      <c r="H149">
        <v>0</v>
      </c>
    </row>
    <row r="150" spans="1:8" x14ac:dyDescent="0.4">
      <c r="A150" t="s">
        <v>170</v>
      </c>
      <c r="B150" t="s">
        <v>283</v>
      </c>
      <c r="C150" t="s">
        <v>136</v>
      </c>
      <c r="D150" t="s">
        <v>28</v>
      </c>
      <c r="E150" t="b">
        <v>1</v>
      </c>
      <c r="H150">
        <v>0</v>
      </c>
    </row>
    <row r="151" spans="1:8" x14ac:dyDescent="0.4">
      <c r="A151" t="s">
        <v>170</v>
      </c>
      <c r="B151" t="s">
        <v>284</v>
      </c>
      <c r="C151" t="s">
        <v>136</v>
      </c>
      <c r="D151" t="s">
        <v>28</v>
      </c>
      <c r="E151" t="b">
        <v>1</v>
      </c>
      <c r="H151">
        <v>0</v>
      </c>
    </row>
    <row r="152" spans="1:8" x14ac:dyDescent="0.4">
      <c r="A152" t="s">
        <v>170</v>
      </c>
      <c r="B152" t="s">
        <v>285</v>
      </c>
      <c r="C152" t="s">
        <v>136</v>
      </c>
      <c r="D152" t="s">
        <v>28</v>
      </c>
      <c r="E152" t="b">
        <v>1</v>
      </c>
      <c r="H152">
        <v>0</v>
      </c>
    </row>
    <row r="153" spans="1:8" x14ac:dyDescent="0.4">
      <c r="A153" t="s">
        <v>170</v>
      </c>
      <c r="B153" t="s">
        <v>349</v>
      </c>
      <c r="C153" t="s">
        <v>136</v>
      </c>
      <c r="D153" t="s">
        <v>28</v>
      </c>
      <c r="E153" t="b">
        <v>1</v>
      </c>
      <c r="H153">
        <v>0</v>
      </c>
    </row>
    <row r="154" spans="1:8" x14ac:dyDescent="0.4">
      <c r="A154" t="s">
        <v>170</v>
      </c>
      <c r="B154" t="s">
        <v>279</v>
      </c>
      <c r="C154" t="s">
        <v>136</v>
      </c>
      <c r="D154" t="s">
        <v>28</v>
      </c>
      <c r="E154" t="b">
        <v>1</v>
      </c>
      <c r="H154">
        <v>0</v>
      </c>
    </row>
    <row r="155" spans="1:8" x14ac:dyDescent="0.4">
      <c r="A155" t="s">
        <v>170</v>
      </c>
      <c r="B155" t="s">
        <v>281</v>
      </c>
      <c r="C155" t="s">
        <v>136</v>
      </c>
      <c r="D155" t="s">
        <v>28</v>
      </c>
      <c r="E155" t="b">
        <v>1</v>
      </c>
      <c r="H155">
        <v>0</v>
      </c>
    </row>
    <row r="156" spans="1:8" x14ac:dyDescent="0.4">
      <c r="A156" t="s">
        <v>170</v>
      </c>
      <c r="B156" t="s">
        <v>283</v>
      </c>
      <c r="C156" t="s">
        <v>136</v>
      </c>
      <c r="D156" t="s">
        <v>28</v>
      </c>
      <c r="E156" t="b">
        <v>1</v>
      </c>
      <c r="H156">
        <v>0</v>
      </c>
    </row>
    <row r="157" spans="1:8" x14ac:dyDescent="0.4">
      <c r="A157" t="s">
        <v>170</v>
      </c>
      <c r="B157" t="s">
        <v>284</v>
      </c>
      <c r="C157" t="s">
        <v>136</v>
      </c>
      <c r="D157" t="s">
        <v>28</v>
      </c>
      <c r="E157" t="b">
        <v>1</v>
      </c>
      <c r="H157">
        <v>0</v>
      </c>
    </row>
    <row r="158" spans="1:8" x14ac:dyDescent="0.4">
      <c r="A158" t="s">
        <v>170</v>
      </c>
      <c r="B158" t="s">
        <v>285</v>
      </c>
      <c r="C158" t="s">
        <v>136</v>
      </c>
      <c r="D158" t="s">
        <v>28</v>
      </c>
      <c r="E158" t="b">
        <v>1</v>
      </c>
      <c r="H158">
        <v>0</v>
      </c>
    </row>
    <row r="159" spans="1:8" x14ac:dyDescent="0.4">
      <c r="A159" t="s">
        <v>170</v>
      </c>
      <c r="B159" t="s">
        <v>350</v>
      </c>
      <c r="D159" t="s">
        <v>290</v>
      </c>
      <c r="E159" t="b">
        <v>0</v>
      </c>
      <c r="H159">
        <v>0</v>
      </c>
    </row>
    <row r="160" spans="1:8" x14ac:dyDescent="0.4">
      <c r="A160" t="s">
        <v>173</v>
      </c>
      <c r="B160" t="s">
        <v>348</v>
      </c>
      <c r="C160" t="s">
        <v>136</v>
      </c>
      <c r="D160" t="s">
        <v>28</v>
      </c>
      <c r="E160" t="b">
        <v>1</v>
      </c>
      <c r="H160">
        <v>0</v>
      </c>
    </row>
    <row r="161" spans="1:8" x14ac:dyDescent="0.4">
      <c r="A161" t="s">
        <v>173</v>
      </c>
      <c r="B161" t="s">
        <v>279</v>
      </c>
      <c r="C161" t="s">
        <v>136</v>
      </c>
      <c r="D161" t="s">
        <v>28</v>
      </c>
      <c r="E161" t="b">
        <v>1</v>
      </c>
      <c r="H161">
        <v>0</v>
      </c>
    </row>
    <row r="162" spans="1:8" x14ac:dyDescent="0.4">
      <c r="A162" t="s">
        <v>173</v>
      </c>
      <c r="B162" t="s">
        <v>281</v>
      </c>
      <c r="C162" t="s">
        <v>136</v>
      </c>
      <c r="D162" t="s">
        <v>28</v>
      </c>
      <c r="E162" t="b">
        <v>1</v>
      </c>
      <c r="H162">
        <v>0</v>
      </c>
    </row>
    <row r="163" spans="1:8" x14ac:dyDescent="0.4">
      <c r="A163" t="s">
        <v>173</v>
      </c>
      <c r="B163" t="s">
        <v>283</v>
      </c>
      <c r="C163" t="s">
        <v>136</v>
      </c>
      <c r="D163" t="s">
        <v>28</v>
      </c>
      <c r="E163" t="b">
        <v>1</v>
      </c>
      <c r="H163">
        <v>0</v>
      </c>
    </row>
    <row r="164" spans="1:8" x14ac:dyDescent="0.4">
      <c r="A164" t="s">
        <v>173</v>
      </c>
      <c r="B164" t="s">
        <v>284</v>
      </c>
      <c r="C164" t="s">
        <v>136</v>
      </c>
      <c r="D164" t="s">
        <v>28</v>
      </c>
      <c r="E164" t="b">
        <v>1</v>
      </c>
      <c r="H164">
        <v>0</v>
      </c>
    </row>
    <row r="165" spans="1:8" x14ac:dyDescent="0.4">
      <c r="A165" t="s">
        <v>173</v>
      </c>
      <c r="B165" t="s">
        <v>285</v>
      </c>
      <c r="C165" t="s">
        <v>136</v>
      </c>
      <c r="D165" t="s">
        <v>28</v>
      </c>
      <c r="E165" t="b">
        <v>1</v>
      </c>
      <c r="H165">
        <v>0</v>
      </c>
    </row>
    <row r="166" spans="1:8" x14ac:dyDescent="0.4">
      <c r="A166" t="s">
        <v>173</v>
      </c>
      <c r="B166" t="s">
        <v>349</v>
      </c>
      <c r="C166" t="s">
        <v>136</v>
      </c>
      <c r="D166" t="s">
        <v>28</v>
      </c>
      <c r="E166" t="b">
        <v>1</v>
      </c>
      <c r="H166">
        <v>0</v>
      </c>
    </row>
    <row r="167" spans="1:8" x14ac:dyDescent="0.4">
      <c r="A167" t="s">
        <v>173</v>
      </c>
      <c r="B167" t="s">
        <v>279</v>
      </c>
      <c r="C167" t="s">
        <v>136</v>
      </c>
      <c r="D167" t="s">
        <v>28</v>
      </c>
      <c r="E167" t="b">
        <v>1</v>
      </c>
      <c r="H167">
        <v>0</v>
      </c>
    </row>
    <row r="168" spans="1:8" x14ac:dyDescent="0.4">
      <c r="A168" t="s">
        <v>173</v>
      </c>
      <c r="B168" t="s">
        <v>281</v>
      </c>
      <c r="C168" t="s">
        <v>136</v>
      </c>
      <c r="D168" t="s">
        <v>28</v>
      </c>
      <c r="E168" t="b">
        <v>1</v>
      </c>
      <c r="H168">
        <v>0</v>
      </c>
    </row>
    <row r="169" spans="1:8" x14ac:dyDescent="0.4">
      <c r="A169" t="s">
        <v>173</v>
      </c>
      <c r="B169" t="s">
        <v>283</v>
      </c>
      <c r="C169" t="s">
        <v>136</v>
      </c>
      <c r="D169" t="s">
        <v>28</v>
      </c>
      <c r="E169" t="b">
        <v>1</v>
      </c>
      <c r="H169">
        <v>0</v>
      </c>
    </row>
    <row r="170" spans="1:8" x14ac:dyDescent="0.4">
      <c r="A170" t="s">
        <v>173</v>
      </c>
      <c r="B170" t="s">
        <v>284</v>
      </c>
      <c r="C170" t="s">
        <v>136</v>
      </c>
      <c r="D170" t="s">
        <v>28</v>
      </c>
      <c r="E170" t="b">
        <v>1</v>
      </c>
      <c r="H170">
        <v>0</v>
      </c>
    </row>
    <row r="171" spans="1:8" x14ac:dyDescent="0.4">
      <c r="A171" t="s">
        <v>173</v>
      </c>
      <c r="B171" t="s">
        <v>285</v>
      </c>
      <c r="C171" t="s">
        <v>136</v>
      </c>
      <c r="D171" t="s">
        <v>28</v>
      </c>
      <c r="E171" t="b">
        <v>1</v>
      </c>
      <c r="H171">
        <v>0</v>
      </c>
    </row>
    <row r="172" spans="1:8" x14ac:dyDescent="0.4">
      <c r="A172" t="s">
        <v>173</v>
      </c>
      <c r="B172" t="s">
        <v>351</v>
      </c>
      <c r="D172" t="s">
        <v>290</v>
      </c>
      <c r="E172" t="b">
        <v>0</v>
      </c>
      <c r="H172">
        <v>0</v>
      </c>
    </row>
    <row r="173" spans="1:8" x14ac:dyDescent="0.4">
      <c r="A173" t="s">
        <v>175</v>
      </c>
      <c r="B173" t="s">
        <v>352</v>
      </c>
      <c r="C173" t="s">
        <v>136</v>
      </c>
      <c r="D173" t="s">
        <v>55</v>
      </c>
      <c r="E173" t="b">
        <v>1</v>
      </c>
      <c r="H173">
        <v>0</v>
      </c>
    </row>
    <row r="174" spans="1:8" x14ac:dyDescent="0.4">
      <c r="A174" t="s">
        <v>175</v>
      </c>
      <c r="B174" t="s">
        <v>353</v>
      </c>
      <c r="C174" t="s">
        <v>136</v>
      </c>
      <c r="D174" t="s">
        <v>55</v>
      </c>
      <c r="E174" t="b">
        <v>1</v>
      </c>
      <c r="H174">
        <v>0</v>
      </c>
    </row>
    <row r="175" spans="1:8" x14ac:dyDescent="0.4">
      <c r="A175" t="s">
        <v>175</v>
      </c>
      <c r="B175" t="s">
        <v>354</v>
      </c>
      <c r="D175" t="s">
        <v>55</v>
      </c>
      <c r="E175" t="b">
        <v>0</v>
      </c>
      <c r="H175">
        <v>0</v>
      </c>
    </row>
    <row r="176" spans="1:8" x14ac:dyDescent="0.4">
      <c r="A176" t="s">
        <v>175</v>
      </c>
      <c r="B176" t="s">
        <v>355</v>
      </c>
      <c r="D176" t="s">
        <v>55</v>
      </c>
      <c r="E176" t="b">
        <v>0</v>
      </c>
      <c r="H176">
        <v>0</v>
      </c>
    </row>
    <row r="177" spans="1:8" x14ac:dyDescent="0.4">
      <c r="A177" t="s">
        <v>175</v>
      </c>
      <c r="B177" t="s">
        <v>356</v>
      </c>
      <c r="D177" t="s">
        <v>55</v>
      </c>
      <c r="E177" t="b">
        <v>0</v>
      </c>
      <c r="H177">
        <v>0</v>
      </c>
    </row>
    <row r="178" spans="1:8" x14ac:dyDescent="0.4">
      <c r="A178" t="s">
        <v>175</v>
      </c>
      <c r="B178" t="s">
        <v>357</v>
      </c>
      <c r="D178" t="s">
        <v>55</v>
      </c>
      <c r="E178" t="b">
        <v>0</v>
      </c>
      <c r="H178">
        <v>0</v>
      </c>
    </row>
    <row r="179" spans="1:8" x14ac:dyDescent="0.4">
      <c r="A179" t="s">
        <v>175</v>
      </c>
      <c r="B179" t="s">
        <v>358</v>
      </c>
      <c r="D179" t="s">
        <v>55</v>
      </c>
      <c r="E179" t="b">
        <v>0</v>
      </c>
      <c r="H179">
        <v>0</v>
      </c>
    </row>
    <row r="180" spans="1:8" x14ac:dyDescent="0.4">
      <c r="A180" t="s">
        <v>175</v>
      </c>
      <c r="B180" t="s">
        <v>359</v>
      </c>
      <c r="D180" t="s">
        <v>55</v>
      </c>
      <c r="E180" t="b">
        <v>0</v>
      </c>
      <c r="H180">
        <v>0</v>
      </c>
    </row>
    <row r="181" spans="1:8" x14ac:dyDescent="0.4">
      <c r="A181" t="s">
        <v>175</v>
      </c>
      <c r="B181" t="s">
        <v>360</v>
      </c>
      <c r="D181" t="s">
        <v>55</v>
      </c>
      <c r="E181" t="b">
        <v>0</v>
      </c>
      <c r="H181">
        <v>0</v>
      </c>
    </row>
    <row r="182" spans="1:8" x14ac:dyDescent="0.4">
      <c r="A182" t="s">
        <v>175</v>
      </c>
      <c r="B182" t="s">
        <v>361</v>
      </c>
      <c r="D182" t="s">
        <v>55</v>
      </c>
      <c r="E182" t="b">
        <v>0</v>
      </c>
      <c r="H182">
        <v>0</v>
      </c>
    </row>
    <row r="183" spans="1:8" x14ac:dyDescent="0.4">
      <c r="A183" t="s">
        <v>175</v>
      </c>
      <c r="B183" t="s">
        <v>362</v>
      </c>
      <c r="D183" t="s">
        <v>55</v>
      </c>
      <c r="E183" t="b">
        <v>0</v>
      </c>
      <c r="H183">
        <v>0</v>
      </c>
    </row>
    <row r="184" spans="1:8" x14ac:dyDescent="0.4">
      <c r="A184" t="s">
        <v>175</v>
      </c>
      <c r="B184" t="s">
        <v>363</v>
      </c>
      <c r="D184" t="s">
        <v>55</v>
      </c>
      <c r="E184" t="b">
        <v>0</v>
      </c>
      <c r="H184">
        <v>0</v>
      </c>
    </row>
    <row r="185" spans="1:8" x14ac:dyDescent="0.4">
      <c r="A185" t="s">
        <v>175</v>
      </c>
      <c r="B185" t="s">
        <v>364</v>
      </c>
      <c r="D185" t="s">
        <v>290</v>
      </c>
      <c r="E185" t="b">
        <v>0</v>
      </c>
      <c r="H185">
        <v>0</v>
      </c>
    </row>
    <row r="186" spans="1:8" x14ac:dyDescent="0.4">
      <c r="A186" t="s">
        <v>175</v>
      </c>
      <c r="B186" t="s">
        <v>365</v>
      </c>
      <c r="D186" t="s">
        <v>55</v>
      </c>
      <c r="E186" t="b">
        <v>0</v>
      </c>
      <c r="H186">
        <v>0</v>
      </c>
    </row>
    <row r="187" spans="1:8" x14ac:dyDescent="0.4">
      <c r="A187" t="s">
        <v>175</v>
      </c>
      <c r="B187" t="s">
        <v>366</v>
      </c>
      <c r="D187" t="s">
        <v>55</v>
      </c>
      <c r="E187" t="b">
        <v>0</v>
      </c>
      <c r="H187">
        <v>0</v>
      </c>
    </row>
    <row r="188" spans="1:8" x14ac:dyDescent="0.4">
      <c r="A188" t="s">
        <v>175</v>
      </c>
      <c r="B188" t="s">
        <v>367</v>
      </c>
      <c r="D188" t="s">
        <v>55</v>
      </c>
      <c r="E188" t="b">
        <v>0</v>
      </c>
      <c r="H188">
        <v>0</v>
      </c>
    </row>
    <row r="189" spans="1:8" x14ac:dyDescent="0.4">
      <c r="A189" t="s">
        <v>175</v>
      </c>
      <c r="B189" t="s">
        <v>368</v>
      </c>
      <c r="D189" t="s">
        <v>293</v>
      </c>
      <c r="E189" t="b">
        <v>0</v>
      </c>
      <c r="H189">
        <v>0</v>
      </c>
    </row>
    <row r="190" spans="1:8" x14ac:dyDescent="0.4">
      <c r="A190" t="s">
        <v>175</v>
      </c>
      <c r="B190" t="s">
        <v>369</v>
      </c>
      <c r="D190" t="s">
        <v>293</v>
      </c>
      <c r="E190" t="b">
        <v>0</v>
      </c>
      <c r="H190">
        <v>0</v>
      </c>
    </row>
    <row r="191" spans="1:8" x14ac:dyDescent="0.4">
      <c r="A191" t="s">
        <v>177</v>
      </c>
      <c r="B191" t="s">
        <v>352</v>
      </c>
      <c r="D191" t="s">
        <v>55</v>
      </c>
      <c r="E191" t="b">
        <v>0</v>
      </c>
      <c r="H191">
        <v>0</v>
      </c>
    </row>
    <row r="192" spans="1:8" x14ac:dyDescent="0.4">
      <c r="A192" t="s">
        <v>177</v>
      </c>
      <c r="B192" t="s">
        <v>353</v>
      </c>
      <c r="D192" t="s">
        <v>55</v>
      </c>
      <c r="E192" t="b">
        <v>0</v>
      </c>
      <c r="H192">
        <v>0</v>
      </c>
    </row>
    <row r="193" spans="1:8" x14ac:dyDescent="0.4">
      <c r="A193" t="s">
        <v>177</v>
      </c>
      <c r="B193" t="s">
        <v>370</v>
      </c>
      <c r="D193" t="s">
        <v>55</v>
      </c>
      <c r="E193" t="b">
        <v>0</v>
      </c>
      <c r="H193">
        <v>0</v>
      </c>
    </row>
    <row r="194" spans="1:8" x14ac:dyDescent="0.4">
      <c r="A194" t="s">
        <v>177</v>
      </c>
      <c r="B194" t="s">
        <v>371</v>
      </c>
      <c r="D194" t="s">
        <v>55</v>
      </c>
      <c r="E194" t="b">
        <v>0</v>
      </c>
      <c r="H194">
        <v>0</v>
      </c>
    </row>
    <row r="195" spans="1:8" x14ac:dyDescent="0.4">
      <c r="A195" t="s">
        <v>177</v>
      </c>
      <c r="B195" t="s">
        <v>372</v>
      </c>
      <c r="D195" t="s">
        <v>55</v>
      </c>
      <c r="E195" t="b">
        <v>0</v>
      </c>
      <c r="H195">
        <v>0</v>
      </c>
    </row>
    <row r="196" spans="1:8" x14ac:dyDescent="0.4">
      <c r="A196" t="s">
        <v>177</v>
      </c>
      <c r="B196" t="s">
        <v>373</v>
      </c>
      <c r="D196" t="s">
        <v>293</v>
      </c>
      <c r="E196" t="b">
        <v>0</v>
      </c>
      <c r="H196">
        <v>0</v>
      </c>
    </row>
    <row r="197" spans="1:8" x14ac:dyDescent="0.4">
      <c r="A197" t="s">
        <v>177</v>
      </c>
      <c r="B197" t="s">
        <v>374</v>
      </c>
      <c r="C197" t="s">
        <v>375</v>
      </c>
      <c r="D197" t="s">
        <v>293</v>
      </c>
      <c r="E197" t="b">
        <v>1</v>
      </c>
      <c r="H197">
        <v>0</v>
      </c>
    </row>
    <row r="198" spans="1:8" x14ac:dyDescent="0.4">
      <c r="A198" t="s">
        <v>177</v>
      </c>
      <c r="B198" t="s">
        <v>376</v>
      </c>
      <c r="D198" t="s">
        <v>55</v>
      </c>
      <c r="E198" t="b">
        <v>0</v>
      </c>
      <c r="H198">
        <v>0</v>
      </c>
    </row>
    <row r="199" spans="1:8" x14ac:dyDescent="0.4">
      <c r="A199" t="s">
        <v>177</v>
      </c>
      <c r="B199" t="s">
        <v>377</v>
      </c>
      <c r="D199" t="s">
        <v>55</v>
      </c>
      <c r="E199" t="b">
        <v>0</v>
      </c>
      <c r="H199">
        <v>0</v>
      </c>
    </row>
    <row r="200" spans="1:8" x14ac:dyDescent="0.4">
      <c r="A200" t="s">
        <v>177</v>
      </c>
      <c r="B200" t="s">
        <v>378</v>
      </c>
      <c r="D200" t="s">
        <v>55</v>
      </c>
      <c r="E200" t="b">
        <v>0</v>
      </c>
      <c r="H200">
        <v>0</v>
      </c>
    </row>
    <row r="201" spans="1:8" x14ac:dyDescent="0.4">
      <c r="A201" t="s">
        <v>177</v>
      </c>
      <c r="B201" t="s">
        <v>379</v>
      </c>
      <c r="D201" t="s">
        <v>55</v>
      </c>
      <c r="E201" t="b">
        <v>0</v>
      </c>
      <c r="H201">
        <v>0</v>
      </c>
    </row>
    <row r="202" spans="1:8" x14ac:dyDescent="0.4">
      <c r="A202" t="s">
        <v>177</v>
      </c>
      <c r="B202" t="s">
        <v>380</v>
      </c>
      <c r="D202" t="s">
        <v>55</v>
      </c>
      <c r="E202" t="b">
        <v>0</v>
      </c>
      <c r="H202">
        <v>0</v>
      </c>
    </row>
    <row r="203" spans="1:8" x14ac:dyDescent="0.4">
      <c r="A203" t="s">
        <v>177</v>
      </c>
      <c r="B203" t="s">
        <v>381</v>
      </c>
      <c r="D203" t="s">
        <v>290</v>
      </c>
      <c r="E203" t="b">
        <v>0</v>
      </c>
      <c r="H203">
        <v>0</v>
      </c>
    </row>
    <row r="204" spans="1:8" x14ac:dyDescent="0.4">
      <c r="A204" t="s">
        <v>179</v>
      </c>
      <c r="B204" t="s">
        <v>278</v>
      </c>
      <c r="C204" t="s">
        <v>136</v>
      </c>
      <c r="D204" t="s">
        <v>293</v>
      </c>
      <c r="E204" t="b">
        <v>1</v>
      </c>
      <c r="H204">
        <v>0</v>
      </c>
    </row>
    <row r="205" spans="1:8" x14ac:dyDescent="0.4">
      <c r="A205" t="s">
        <v>179</v>
      </c>
      <c r="B205" t="s">
        <v>279</v>
      </c>
      <c r="C205" t="s">
        <v>136</v>
      </c>
      <c r="D205" t="s">
        <v>293</v>
      </c>
      <c r="E205" t="b">
        <v>1</v>
      </c>
      <c r="H205">
        <v>0</v>
      </c>
    </row>
    <row r="206" spans="1:8" x14ac:dyDescent="0.4">
      <c r="A206" t="s">
        <v>179</v>
      </c>
      <c r="B206" t="s">
        <v>382</v>
      </c>
      <c r="C206" t="s">
        <v>136</v>
      </c>
      <c r="D206" t="s">
        <v>293</v>
      </c>
      <c r="E206" t="b">
        <v>1</v>
      </c>
      <c r="H206">
        <v>0</v>
      </c>
    </row>
    <row r="207" spans="1:8" x14ac:dyDescent="0.4">
      <c r="A207" t="s">
        <v>179</v>
      </c>
      <c r="B207" t="s">
        <v>281</v>
      </c>
      <c r="C207" t="s">
        <v>136</v>
      </c>
      <c r="D207" t="s">
        <v>293</v>
      </c>
      <c r="E207" t="b">
        <v>1</v>
      </c>
      <c r="H207">
        <v>0</v>
      </c>
    </row>
    <row r="208" spans="1:8" x14ac:dyDescent="0.4">
      <c r="A208" t="s">
        <v>179</v>
      </c>
      <c r="B208" t="s">
        <v>283</v>
      </c>
      <c r="C208" t="s">
        <v>136</v>
      </c>
      <c r="D208" t="s">
        <v>293</v>
      </c>
      <c r="E208" t="b">
        <v>1</v>
      </c>
      <c r="H208">
        <v>0</v>
      </c>
    </row>
    <row r="209" spans="1:8" x14ac:dyDescent="0.4">
      <c r="A209" t="s">
        <v>179</v>
      </c>
      <c r="B209" t="s">
        <v>284</v>
      </c>
      <c r="C209" t="s">
        <v>136</v>
      </c>
      <c r="D209" t="s">
        <v>293</v>
      </c>
      <c r="E209" t="b">
        <v>1</v>
      </c>
      <c r="H209">
        <v>0</v>
      </c>
    </row>
    <row r="210" spans="1:8" x14ac:dyDescent="0.4">
      <c r="A210" t="s">
        <v>179</v>
      </c>
      <c r="B210" t="s">
        <v>285</v>
      </c>
      <c r="C210" t="s">
        <v>136</v>
      </c>
      <c r="D210" t="s">
        <v>293</v>
      </c>
      <c r="E210" t="b">
        <v>1</v>
      </c>
      <c r="H210">
        <v>0</v>
      </c>
    </row>
    <row r="211" spans="1:8" x14ac:dyDescent="0.4">
      <c r="A211" t="s">
        <v>179</v>
      </c>
      <c r="B211" t="s">
        <v>383</v>
      </c>
      <c r="C211" t="s">
        <v>136</v>
      </c>
      <c r="D211" t="s">
        <v>293</v>
      </c>
      <c r="E211" t="b">
        <v>1</v>
      </c>
      <c r="H211">
        <v>0</v>
      </c>
    </row>
    <row r="212" spans="1:8" x14ac:dyDescent="0.4">
      <c r="A212" t="s">
        <v>179</v>
      </c>
      <c r="B212" t="s">
        <v>384</v>
      </c>
      <c r="C212" t="s">
        <v>136</v>
      </c>
      <c r="D212" t="s">
        <v>293</v>
      </c>
      <c r="E212" t="b">
        <v>1</v>
      </c>
      <c r="H212">
        <v>0</v>
      </c>
    </row>
    <row r="213" spans="1:8" x14ac:dyDescent="0.4">
      <c r="A213" t="s">
        <v>181</v>
      </c>
      <c r="B213" t="s">
        <v>278</v>
      </c>
      <c r="C213" t="s">
        <v>136</v>
      </c>
      <c r="D213" t="s">
        <v>49</v>
      </c>
      <c r="E213" t="b">
        <v>1</v>
      </c>
      <c r="H213">
        <v>0</v>
      </c>
    </row>
    <row r="214" spans="1:8" x14ac:dyDescent="0.4">
      <c r="A214" t="s">
        <v>181</v>
      </c>
      <c r="B214" t="s">
        <v>279</v>
      </c>
      <c r="C214" t="s">
        <v>136</v>
      </c>
      <c r="D214" t="s">
        <v>49</v>
      </c>
      <c r="E214" t="b">
        <v>1</v>
      </c>
      <c r="H214">
        <v>0</v>
      </c>
    </row>
    <row r="215" spans="1:8" x14ac:dyDescent="0.4">
      <c r="A215" t="s">
        <v>181</v>
      </c>
      <c r="B215" t="s">
        <v>385</v>
      </c>
      <c r="C215" t="s">
        <v>136</v>
      </c>
      <c r="D215" t="s">
        <v>49</v>
      </c>
      <c r="E215" t="b">
        <v>1</v>
      </c>
      <c r="H215">
        <v>0</v>
      </c>
    </row>
    <row r="216" spans="1:8" x14ac:dyDescent="0.4">
      <c r="A216" t="s">
        <v>181</v>
      </c>
      <c r="B216" t="s">
        <v>281</v>
      </c>
      <c r="C216" t="s">
        <v>136</v>
      </c>
      <c r="D216" t="s">
        <v>49</v>
      </c>
      <c r="E216" t="b">
        <v>1</v>
      </c>
      <c r="H216">
        <v>0</v>
      </c>
    </row>
    <row r="217" spans="1:8" x14ac:dyDescent="0.4">
      <c r="A217" t="s">
        <v>181</v>
      </c>
      <c r="B217" t="s">
        <v>283</v>
      </c>
      <c r="C217" t="s">
        <v>136</v>
      </c>
      <c r="D217" t="s">
        <v>49</v>
      </c>
      <c r="E217" t="b">
        <v>1</v>
      </c>
      <c r="H217">
        <v>0</v>
      </c>
    </row>
    <row r="218" spans="1:8" x14ac:dyDescent="0.4">
      <c r="A218" t="s">
        <v>181</v>
      </c>
      <c r="B218" t="s">
        <v>284</v>
      </c>
      <c r="C218" t="s">
        <v>136</v>
      </c>
      <c r="D218" t="s">
        <v>49</v>
      </c>
      <c r="E218" t="b">
        <v>1</v>
      </c>
      <c r="H218">
        <v>0</v>
      </c>
    </row>
    <row r="219" spans="1:8" x14ac:dyDescent="0.4">
      <c r="A219" t="s">
        <v>181</v>
      </c>
      <c r="B219" t="s">
        <v>285</v>
      </c>
      <c r="C219" t="s">
        <v>136</v>
      </c>
      <c r="D219" t="s">
        <v>49</v>
      </c>
      <c r="E219" t="b">
        <v>1</v>
      </c>
      <c r="H219">
        <v>0</v>
      </c>
    </row>
    <row r="220" spans="1:8" x14ac:dyDescent="0.4">
      <c r="A220" t="s">
        <v>183</v>
      </c>
      <c r="B220" t="s">
        <v>386</v>
      </c>
      <c r="C220" t="s">
        <v>136</v>
      </c>
      <c r="D220" t="s">
        <v>293</v>
      </c>
      <c r="E220" t="b">
        <v>1</v>
      </c>
      <c r="H220">
        <v>0</v>
      </c>
    </row>
    <row r="221" spans="1:8" x14ac:dyDescent="0.4">
      <c r="A221" t="s">
        <v>183</v>
      </c>
      <c r="B221" t="s">
        <v>387</v>
      </c>
      <c r="C221" t="s">
        <v>136</v>
      </c>
      <c r="D221" t="s">
        <v>293</v>
      </c>
      <c r="E221" t="b">
        <v>1</v>
      </c>
      <c r="H221">
        <v>0</v>
      </c>
    </row>
    <row r="222" spans="1:8" x14ac:dyDescent="0.4">
      <c r="A222" t="s">
        <v>183</v>
      </c>
      <c r="B222" t="s">
        <v>388</v>
      </c>
      <c r="C222" t="s">
        <v>136</v>
      </c>
      <c r="D222" t="s">
        <v>293</v>
      </c>
      <c r="E222" t="b">
        <v>1</v>
      </c>
      <c r="H222">
        <v>0</v>
      </c>
    </row>
    <row r="223" spans="1:8" x14ac:dyDescent="0.4">
      <c r="A223" t="s">
        <v>183</v>
      </c>
      <c r="B223" t="s">
        <v>389</v>
      </c>
      <c r="C223" t="s">
        <v>136</v>
      </c>
      <c r="D223" t="s">
        <v>293</v>
      </c>
      <c r="E223" t="b">
        <v>1</v>
      </c>
      <c r="H223">
        <v>0</v>
      </c>
    </row>
    <row r="224" spans="1:8" x14ac:dyDescent="0.4">
      <c r="A224" t="s">
        <v>183</v>
      </c>
      <c r="B224" t="s">
        <v>390</v>
      </c>
      <c r="C224" t="s">
        <v>136</v>
      </c>
      <c r="D224" t="s">
        <v>293</v>
      </c>
      <c r="E224" t="b">
        <v>1</v>
      </c>
      <c r="H224">
        <v>0</v>
      </c>
    </row>
    <row r="225" spans="1:8" x14ac:dyDescent="0.4">
      <c r="A225" t="s">
        <v>183</v>
      </c>
      <c r="B225" t="s">
        <v>391</v>
      </c>
      <c r="D225" t="s">
        <v>293</v>
      </c>
      <c r="E225" t="b">
        <v>0</v>
      </c>
      <c r="H225">
        <v>0</v>
      </c>
    </row>
    <row r="226" spans="1:8" x14ac:dyDescent="0.4">
      <c r="A226" t="s">
        <v>183</v>
      </c>
      <c r="B226" t="s">
        <v>392</v>
      </c>
      <c r="D226" t="s">
        <v>293</v>
      </c>
      <c r="E226" t="b">
        <v>0</v>
      </c>
      <c r="H226">
        <v>0</v>
      </c>
    </row>
    <row r="227" spans="1:8" x14ac:dyDescent="0.4">
      <c r="A227" t="s">
        <v>183</v>
      </c>
      <c r="B227" t="s">
        <v>393</v>
      </c>
      <c r="D227" t="s">
        <v>293</v>
      </c>
      <c r="E227" t="b">
        <v>0</v>
      </c>
      <c r="H227">
        <v>0</v>
      </c>
    </row>
    <row r="228" spans="1:8" x14ac:dyDescent="0.4">
      <c r="A228" t="s">
        <v>183</v>
      </c>
      <c r="B228" t="s">
        <v>394</v>
      </c>
      <c r="D228" t="s">
        <v>293</v>
      </c>
      <c r="E228" t="b">
        <v>0</v>
      </c>
      <c r="H228">
        <v>0</v>
      </c>
    </row>
    <row r="229" spans="1:8" x14ac:dyDescent="0.4">
      <c r="A229" t="s">
        <v>183</v>
      </c>
      <c r="B229" t="s">
        <v>395</v>
      </c>
      <c r="D229" t="s">
        <v>293</v>
      </c>
      <c r="E229" t="b">
        <v>0</v>
      </c>
      <c r="H229">
        <v>0</v>
      </c>
    </row>
    <row r="230" spans="1:8" x14ac:dyDescent="0.4">
      <c r="A230" t="s">
        <v>183</v>
      </c>
      <c r="B230" t="s">
        <v>396</v>
      </c>
      <c r="D230" t="s">
        <v>293</v>
      </c>
      <c r="E230" t="b">
        <v>0</v>
      </c>
      <c r="H230">
        <v>0</v>
      </c>
    </row>
    <row r="231" spans="1:8" x14ac:dyDescent="0.4">
      <c r="A231" t="s">
        <v>183</v>
      </c>
      <c r="B231" t="s">
        <v>397</v>
      </c>
      <c r="D231" t="s">
        <v>293</v>
      </c>
      <c r="E231" t="b">
        <v>0</v>
      </c>
      <c r="H231">
        <v>0</v>
      </c>
    </row>
    <row r="232" spans="1:8" x14ac:dyDescent="0.4">
      <c r="A232" t="s">
        <v>183</v>
      </c>
      <c r="B232" t="s">
        <v>398</v>
      </c>
      <c r="D232" t="s">
        <v>293</v>
      </c>
      <c r="E232" t="b">
        <v>0</v>
      </c>
      <c r="H232">
        <v>0</v>
      </c>
    </row>
    <row r="233" spans="1:8" x14ac:dyDescent="0.4">
      <c r="A233" t="s">
        <v>183</v>
      </c>
      <c r="B233" t="s">
        <v>399</v>
      </c>
      <c r="D233" t="s">
        <v>293</v>
      </c>
      <c r="E233" t="b">
        <v>0</v>
      </c>
      <c r="H233">
        <v>0</v>
      </c>
    </row>
    <row r="234" spans="1:8" x14ac:dyDescent="0.4">
      <c r="A234" t="s">
        <v>183</v>
      </c>
      <c r="B234" t="s">
        <v>400</v>
      </c>
      <c r="D234" t="s">
        <v>293</v>
      </c>
      <c r="E234" t="b">
        <v>0</v>
      </c>
      <c r="H234">
        <v>0</v>
      </c>
    </row>
    <row r="235" spans="1:8" x14ac:dyDescent="0.4">
      <c r="A235" t="s">
        <v>183</v>
      </c>
      <c r="B235" t="s">
        <v>401</v>
      </c>
      <c r="D235" t="s">
        <v>293</v>
      </c>
      <c r="E235" t="b">
        <v>0</v>
      </c>
      <c r="H235">
        <v>0</v>
      </c>
    </row>
    <row r="236" spans="1:8" x14ac:dyDescent="0.4">
      <c r="A236" t="s">
        <v>183</v>
      </c>
      <c r="B236" t="s">
        <v>402</v>
      </c>
      <c r="D236" t="s">
        <v>293</v>
      </c>
      <c r="E236" t="b">
        <v>0</v>
      </c>
      <c r="H236">
        <v>0</v>
      </c>
    </row>
    <row r="237" spans="1:8" x14ac:dyDescent="0.4">
      <c r="A237" t="s">
        <v>183</v>
      </c>
      <c r="B237" t="s">
        <v>403</v>
      </c>
      <c r="D237" t="s">
        <v>293</v>
      </c>
      <c r="E237" t="b">
        <v>0</v>
      </c>
      <c r="H237">
        <v>0</v>
      </c>
    </row>
    <row r="238" spans="1:8" x14ac:dyDescent="0.4">
      <c r="A238" t="s">
        <v>183</v>
      </c>
      <c r="B238" t="s">
        <v>404</v>
      </c>
      <c r="D238" t="s">
        <v>293</v>
      </c>
      <c r="E238" t="b">
        <v>0</v>
      </c>
      <c r="H238">
        <v>0</v>
      </c>
    </row>
    <row r="239" spans="1:8" x14ac:dyDescent="0.4">
      <c r="A239" t="s">
        <v>186</v>
      </c>
      <c r="B239" t="s">
        <v>278</v>
      </c>
      <c r="C239" t="s">
        <v>136</v>
      </c>
      <c r="D239" t="s">
        <v>293</v>
      </c>
      <c r="E239" t="b">
        <v>1</v>
      </c>
      <c r="H239">
        <v>0</v>
      </c>
    </row>
    <row r="240" spans="1:8" x14ac:dyDescent="0.4">
      <c r="A240" t="s">
        <v>186</v>
      </c>
      <c r="B240" t="s">
        <v>279</v>
      </c>
      <c r="C240" t="s">
        <v>136</v>
      </c>
      <c r="D240" t="s">
        <v>293</v>
      </c>
      <c r="E240" t="b">
        <v>1</v>
      </c>
      <c r="H240">
        <v>0</v>
      </c>
    </row>
    <row r="241" spans="1:8" x14ac:dyDescent="0.4">
      <c r="A241" t="s">
        <v>186</v>
      </c>
      <c r="B241" t="s">
        <v>280</v>
      </c>
      <c r="C241" t="s">
        <v>136</v>
      </c>
      <c r="D241" t="s">
        <v>293</v>
      </c>
      <c r="E241" t="b">
        <v>1</v>
      </c>
      <c r="H241">
        <v>0</v>
      </c>
    </row>
    <row r="242" spans="1:8" x14ac:dyDescent="0.4">
      <c r="A242" t="s">
        <v>186</v>
      </c>
      <c r="B242" t="s">
        <v>281</v>
      </c>
      <c r="C242" t="s">
        <v>136</v>
      </c>
      <c r="D242" t="s">
        <v>293</v>
      </c>
      <c r="E242" t="b">
        <v>1</v>
      </c>
      <c r="H242">
        <v>0</v>
      </c>
    </row>
    <row r="243" spans="1:8" x14ac:dyDescent="0.4">
      <c r="A243" t="s">
        <v>186</v>
      </c>
      <c r="B243" t="s">
        <v>282</v>
      </c>
      <c r="C243" t="s">
        <v>136</v>
      </c>
      <c r="D243" t="s">
        <v>293</v>
      </c>
      <c r="E243" t="b">
        <v>1</v>
      </c>
      <c r="H243">
        <v>0</v>
      </c>
    </row>
    <row r="244" spans="1:8" x14ac:dyDescent="0.4">
      <c r="A244" t="s">
        <v>186</v>
      </c>
      <c r="B244" t="s">
        <v>283</v>
      </c>
      <c r="C244" t="s">
        <v>136</v>
      </c>
      <c r="D244" t="s">
        <v>293</v>
      </c>
      <c r="E244" t="b">
        <v>1</v>
      </c>
      <c r="H244">
        <v>0</v>
      </c>
    </row>
    <row r="245" spans="1:8" x14ac:dyDescent="0.4">
      <c r="A245" t="s">
        <v>186</v>
      </c>
      <c r="B245" t="s">
        <v>284</v>
      </c>
      <c r="C245" t="s">
        <v>136</v>
      </c>
      <c r="D245" t="s">
        <v>293</v>
      </c>
      <c r="E245" t="b">
        <v>1</v>
      </c>
      <c r="H245">
        <v>0</v>
      </c>
    </row>
    <row r="246" spans="1:8" x14ac:dyDescent="0.4">
      <c r="A246" t="s">
        <v>186</v>
      </c>
      <c r="B246" t="s">
        <v>285</v>
      </c>
      <c r="D246" t="s">
        <v>293</v>
      </c>
      <c r="E246" t="b">
        <v>0</v>
      </c>
      <c r="H246">
        <v>0</v>
      </c>
    </row>
    <row r="247" spans="1:8" x14ac:dyDescent="0.4">
      <c r="A247" t="s">
        <v>186</v>
      </c>
      <c r="B247" t="s">
        <v>405</v>
      </c>
      <c r="D247" t="s">
        <v>55</v>
      </c>
      <c r="E247" t="b">
        <v>0</v>
      </c>
      <c r="H247">
        <v>0</v>
      </c>
    </row>
    <row r="248" spans="1:8" x14ac:dyDescent="0.4">
      <c r="A248" t="s">
        <v>186</v>
      </c>
      <c r="B248" t="s">
        <v>406</v>
      </c>
      <c r="D248" t="s">
        <v>55</v>
      </c>
      <c r="E248" t="b">
        <v>0</v>
      </c>
      <c r="H248">
        <v>0</v>
      </c>
    </row>
    <row r="249" spans="1:8" x14ac:dyDescent="0.4">
      <c r="A249" t="s">
        <v>186</v>
      </c>
      <c r="B249" t="s">
        <v>407</v>
      </c>
      <c r="D249" t="s">
        <v>55</v>
      </c>
      <c r="E249" t="b">
        <v>0</v>
      </c>
      <c r="H249">
        <v>0</v>
      </c>
    </row>
    <row r="250" spans="1:8" x14ac:dyDescent="0.4">
      <c r="A250" t="s">
        <v>186</v>
      </c>
      <c r="B250" t="s">
        <v>408</v>
      </c>
      <c r="D250" t="s">
        <v>55</v>
      </c>
      <c r="E250" t="b">
        <v>0</v>
      </c>
      <c r="H250">
        <v>0</v>
      </c>
    </row>
    <row r="251" spans="1:8" x14ac:dyDescent="0.4">
      <c r="A251" t="s">
        <v>186</v>
      </c>
      <c r="B251" t="s">
        <v>409</v>
      </c>
      <c r="D251" t="s">
        <v>55</v>
      </c>
      <c r="E251" t="b">
        <v>0</v>
      </c>
      <c r="H251">
        <v>0</v>
      </c>
    </row>
    <row r="252" spans="1:8" x14ac:dyDescent="0.4">
      <c r="A252" t="s">
        <v>186</v>
      </c>
      <c r="B252" t="s">
        <v>410</v>
      </c>
      <c r="D252" t="s">
        <v>55</v>
      </c>
      <c r="E252" t="b">
        <v>0</v>
      </c>
      <c r="H252">
        <v>0</v>
      </c>
    </row>
    <row r="253" spans="1:8" x14ac:dyDescent="0.4">
      <c r="A253" t="s">
        <v>186</v>
      </c>
      <c r="B253" t="s">
        <v>411</v>
      </c>
      <c r="D253" t="s">
        <v>55</v>
      </c>
      <c r="E253" t="b">
        <v>0</v>
      </c>
      <c r="H253">
        <v>0</v>
      </c>
    </row>
    <row r="254" spans="1:8" x14ac:dyDescent="0.4">
      <c r="A254" t="s">
        <v>186</v>
      </c>
      <c r="B254" t="s">
        <v>412</v>
      </c>
      <c r="D254" t="s">
        <v>55</v>
      </c>
      <c r="E254" t="b">
        <v>0</v>
      </c>
      <c r="H254">
        <v>0</v>
      </c>
    </row>
    <row r="255" spans="1:8" x14ac:dyDescent="0.4">
      <c r="A255" t="s">
        <v>186</v>
      </c>
      <c r="B255" t="s">
        <v>413</v>
      </c>
      <c r="D255" t="s">
        <v>55</v>
      </c>
      <c r="E255" t="b">
        <v>0</v>
      </c>
      <c r="H255">
        <v>0</v>
      </c>
    </row>
    <row r="256" spans="1:8" x14ac:dyDescent="0.4">
      <c r="A256" t="s">
        <v>186</v>
      </c>
      <c r="B256" t="s">
        <v>414</v>
      </c>
      <c r="D256" t="s">
        <v>55</v>
      </c>
      <c r="E256" t="b">
        <v>0</v>
      </c>
      <c r="H256">
        <v>0</v>
      </c>
    </row>
    <row r="257" spans="1:8" x14ac:dyDescent="0.4">
      <c r="A257" t="s">
        <v>186</v>
      </c>
      <c r="B257" t="s">
        <v>415</v>
      </c>
      <c r="D257" t="s">
        <v>55</v>
      </c>
      <c r="E257" t="b">
        <v>0</v>
      </c>
      <c r="H257">
        <v>0</v>
      </c>
    </row>
    <row r="258" spans="1:8" x14ac:dyDescent="0.4">
      <c r="A258" t="s">
        <v>186</v>
      </c>
      <c r="B258" t="s">
        <v>416</v>
      </c>
      <c r="D258" t="s">
        <v>55</v>
      </c>
      <c r="E258" t="b">
        <v>0</v>
      </c>
      <c r="H258">
        <v>0</v>
      </c>
    </row>
    <row r="259" spans="1:8" x14ac:dyDescent="0.4">
      <c r="A259" t="s">
        <v>186</v>
      </c>
      <c r="B259" t="s">
        <v>417</v>
      </c>
      <c r="D259" t="s">
        <v>55</v>
      </c>
      <c r="E259" t="b">
        <v>0</v>
      </c>
      <c r="H259">
        <v>0</v>
      </c>
    </row>
    <row r="260" spans="1:8" x14ac:dyDescent="0.4">
      <c r="A260" t="s">
        <v>189</v>
      </c>
      <c r="B260" t="s">
        <v>278</v>
      </c>
      <c r="C260" t="s">
        <v>136</v>
      </c>
      <c r="D260" t="s">
        <v>293</v>
      </c>
      <c r="E260" t="b">
        <v>1</v>
      </c>
      <c r="H260">
        <v>0</v>
      </c>
    </row>
    <row r="261" spans="1:8" x14ac:dyDescent="0.4">
      <c r="A261" t="s">
        <v>189</v>
      </c>
      <c r="B261" t="s">
        <v>279</v>
      </c>
      <c r="C261" t="s">
        <v>136</v>
      </c>
      <c r="D261" t="s">
        <v>293</v>
      </c>
      <c r="E261" t="b">
        <v>1</v>
      </c>
      <c r="H261">
        <v>0</v>
      </c>
    </row>
    <row r="262" spans="1:8" x14ac:dyDescent="0.4">
      <c r="A262" t="s">
        <v>189</v>
      </c>
      <c r="B262" t="s">
        <v>280</v>
      </c>
      <c r="C262" t="s">
        <v>136</v>
      </c>
      <c r="D262" t="s">
        <v>293</v>
      </c>
      <c r="E262" t="b">
        <v>1</v>
      </c>
      <c r="H262">
        <v>0</v>
      </c>
    </row>
    <row r="263" spans="1:8" x14ac:dyDescent="0.4">
      <c r="A263" t="s">
        <v>189</v>
      </c>
      <c r="B263" t="s">
        <v>281</v>
      </c>
      <c r="C263" t="s">
        <v>136</v>
      </c>
      <c r="D263" t="s">
        <v>293</v>
      </c>
      <c r="E263" t="b">
        <v>1</v>
      </c>
      <c r="H263">
        <v>0</v>
      </c>
    </row>
    <row r="264" spans="1:8" x14ac:dyDescent="0.4">
      <c r="A264" t="s">
        <v>189</v>
      </c>
      <c r="B264" t="s">
        <v>282</v>
      </c>
      <c r="C264" t="s">
        <v>136</v>
      </c>
      <c r="D264" t="s">
        <v>293</v>
      </c>
      <c r="E264" t="b">
        <v>1</v>
      </c>
      <c r="H264">
        <v>0</v>
      </c>
    </row>
    <row r="265" spans="1:8" x14ac:dyDescent="0.4">
      <c r="A265" t="s">
        <v>189</v>
      </c>
      <c r="B265" t="s">
        <v>283</v>
      </c>
      <c r="C265" t="s">
        <v>136</v>
      </c>
      <c r="D265" t="s">
        <v>293</v>
      </c>
      <c r="E265" t="b">
        <v>1</v>
      </c>
      <c r="H265">
        <v>0</v>
      </c>
    </row>
    <row r="266" spans="1:8" x14ac:dyDescent="0.4">
      <c r="A266" t="s">
        <v>189</v>
      </c>
      <c r="B266" t="s">
        <v>284</v>
      </c>
      <c r="C266" t="s">
        <v>136</v>
      </c>
      <c r="D266" t="s">
        <v>293</v>
      </c>
      <c r="E266" t="b">
        <v>1</v>
      </c>
      <c r="H266">
        <v>0</v>
      </c>
    </row>
    <row r="267" spans="1:8" x14ac:dyDescent="0.4">
      <c r="A267" t="s">
        <v>189</v>
      </c>
      <c r="B267" t="s">
        <v>285</v>
      </c>
      <c r="D267" t="s">
        <v>55</v>
      </c>
      <c r="E267" t="b">
        <v>0</v>
      </c>
      <c r="H267">
        <v>0</v>
      </c>
    </row>
    <row r="268" spans="1:8" x14ac:dyDescent="0.4">
      <c r="A268" t="s">
        <v>189</v>
      </c>
      <c r="B268" t="s">
        <v>418</v>
      </c>
      <c r="D268" t="s">
        <v>55</v>
      </c>
      <c r="E268" t="b">
        <v>0</v>
      </c>
      <c r="H268">
        <v>0</v>
      </c>
    </row>
    <row r="269" spans="1:8" x14ac:dyDescent="0.4">
      <c r="A269" t="s">
        <v>189</v>
      </c>
      <c r="B269" t="s">
        <v>419</v>
      </c>
      <c r="D269" t="s">
        <v>55</v>
      </c>
      <c r="E269" t="b">
        <v>0</v>
      </c>
      <c r="H269">
        <v>0</v>
      </c>
    </row>
    <row r="270" spans="1:8" x14ac:dyDescent="0.4">
      <c r="A270" t="s">
        <v>189</v>
      </c>
      <c r="B270" t="s">
        <v>420</v>
      </c>
      <c r="D270" t="s">
        <v>55</v>
      </c>
      <c r="E270" t="b">
        <v>0</v>
      </c>
      <c r="H270">
        <v>0</v>
      </c>
    </row>
    <row r="271" spans="1:8" x14ac:dyDescent="0.4">
      <c r="A271" t="s">
        <v>189</v>
      </c>
      <c r="B271" t="s">
        <v>421</v>
      </c>
      <c r="D271" t="s">
        <v>55</v>
      </c>
      <c r="E271" t="b">
        <v>0</v>
      </c>
      <c r="H271">
        <v>0</v>
      </c>
    </row>
    <row r="272" spans="1:8" x14ac:dyDescent="0.4">
      <c r="A272" t="s">
        <v>189</v>
      </c>
      <c r="B272" t="s">
        <v>422</v>
      </c>
      <c r="D272" t="s">
        <v>55</v>
      </c>
      <c r="E272" t="b">
        <v>0</v>
      </c>
      <c r="H272">
        <v>0</v>
      </c>
    </row>
    <row r="273" spans="1:8" x14ac:dyDescent="0.4">
      <c r="A273" t="s">
        <v>189</v>
      </c>
      <c r="B273" t="s">
        <v>423</v>
      </c>
      <c r="D273" t="s">
        <v>55</v>
      </c>
      <c r="E273" t="b">
        <v>0</v>
      </c>
      <c r="H273">
        <v>0</v>
      </c>
    </row>
    <row r="274" spans="1:8" x14ac:dyDescent="0.4">
      <c r="A274" t="s">
        <v>189</v>
      </c>
      <c r="B274" t="s">
        <v>424</v>
      </c>
      <c r="D274" t="s">
        <v>55</v>
      </c>
      <c r="E274" t="b">
        <v>0</v>
      </c>
      <c r="H274">
        <v>0</v>
      </c>
    </row>
    <row r="275" spans="1:8" x14ac:dyDescent="0.4">
      <c r="A275" t="s">
        <v>189</v>
      </c>
      <c r="B275" t="s">
        <v>425</v>
      </c>
      <c r="D275" t="s">
        <v>55</v>
      </c>
      <c r="E275" t="b">
        <v>0</v>
      </c>
      <c r="H275">
        <v>0</v>
      </c>
    </row>
    <row r="276" spans="1:8" x14ac:dyDescent="0.4">
      <c r="A276" t="s">
        <v>189</v>
      </c>
      <c r="B276" t="s">
        <v>426</v>
      </c>
      <c r="D276" t="s">
        <v>55</v>
      </c>
      <c r="E276" t="b">
        <v>0</v>
      </c>
      <c r="H276">
        <v>0</v>
      </c>
    </row>
    <row r="277" spans="1:8" x14ac:dyDescent="0.4">
      <c r="A277" t="s">
        <v>189</v>
      </c>
      <c r="B277" t="s">
        <v>427</v>
      </c>
      <c r="D277" t="s">
        <v>55</v>
      </c>
      <c r="E277" t="b">
        <v>0</v>
      </c>
      <c r="H277">
        <v>0</v>
      </c>
    </row>
    <row r="278" spans="1:8" x14ac:dyDescent="0.4">
      <c r="A278" t="s">
        <v>189</v>
      </c>
      <c r="B278" t="s">
        <v>428</v>
      </c>
      <c r="D278" t="s">
        <v>55</v>
      </c>
      <c r="E278" t="b">
        <v>0</v>
      </c>
      <c r="H278">
        <v>0</v>
      </c>
    </row>
    <row r="279" spans="1:8" x14ac:dyDescent="0.4">
      <c r="A279" t="s">
        <v>189</v>
      </c>
      <c r="B279" t="s">
        <v>429</v>
      </c>
      <c r="D279" t="s">
        <v>55</v>
      </c>
      <c r="E279" t="b">
        <v>0</v>
      </c>
      <c r="H279">
        <v>0</v>
      </c>
    </row>
    <row r="280" spans="1:8" x14ac:dyDescent="0.4">
      <c r="A280" t="s">
        <v>189</v>
      </c>
      <c r="B280" t="s">
        <v>430</v>
      </c>
      <c r="D280" t="s">
        <v>55</v>
      </c>
      <c r="E280" t="b">
        <v>0</v>
      </c>
      <c r="H280">
        <v>0</v>
      </c>
    </row>
    <row r="281" spans="1:8" x14ac:dyDescent="0.4">
      <c r="A281" t="s">
        <v>191</v>
      </c>
      <c r="B281" t="s">
        <v>431</v>
      </c>
      <c r="C281" t="s">
        <v>136</v>
      </c>
      <c r="D281" t="s">
        <v>290</v>
      </c>
      <c r="E281" t="b">
        <v>1</v>
      </c>
      <c r="H281">
        <v>0</v>
      </c>
    </row>
    <row r="282" spans="1:8" x14ac:dyDescent="0.4">
      <c r="A282" t="s">
        <v>191</v>
      </c>
      <c r="B282" t="s">
        <v>432</v>
      </c>
      <c r="C282" t="s">
        <v>136</v>
      </c>
      <c r="D282" t="s">
        <v>290</v>
      </c>
      <c r="E282" t="b">
        <v>1</v>
      </c>
      <c r="H282">
        <v>0</v>
      </c>
    </row>
    <row r="283" spans="1:8" x14ac:dyDescent="0.4">
      <c r="A283" t="s">
        <v>191</v>
      </c>
      <c r="B283" t="s">
        <v>433</v>
      </c>
      <c r="C283" t="s">
        <v>136</v>
      </c>
      <c r="D283" t="s">
        <v>290</v>
      </c>
      <c r="E283" t="b">
        <v>1</v>
      </c>
      <c r="H283">
        <v>0</v>
      </c>
    </row>
    <row r="284" spans="1:8" x14ac:dyDescent="0.4">
      <c r="A284" t="s">
        <v>191</v>
      </c>
      <c r="B284" t="s">
        <v>432</v>
      </c>
      <c r="D284" t="s">
        <v>290</v>
      </c>
      <c r="E284" t="b">
        <v>0</v>
      </c>
      <c r="H284">
        <v>0</v>
      </c>
    </row>
    <row r="285" spans="1:8" x14ac:dyDescent="0.4">
      <c r="A285" t="s">
        <v>191</v>
      </c>
      <c r="B285" t="s">
        <v>434</v>
      </c>
      <c r="D285" t="s">
        <v>290</v>
      </c>
      <c r="E285" t="b">
        <v>0</v>
      </c>
      <c r="H285">
        <v>0</v>
      </c>
    </row>
    <row r="286" spans="1:8" x14ac:dyDescent="0.4">
      <c r="A286" t="s">
        <v>191</v>
      </c>
      <c r="B286" t="s">
        <v>435</v>
      </c>
      <c r="D286" t="s">
        <v>290</v>
      </c>
      <c r="E286" t="b">
        <v>0</v>
      </c>
      <c r="H286">
        <v>0</v>
      </c>
    </row>
    <row r="287" spans="1:8" x14ac:dyDescent="0.4">
      <c r="A287" t="s">
        <v>191</v>
      </c>
      <c r="B287" t="s">
        <v>436</v>
      </c>
      <c r="D287" t="s">
        <v>293</v>
      </c>
      <c r="E287" t="b">
        <v>0</v>
      </c>
      <c r="H287">
        <v>0</v>
      </c>
    </row>
    <row r="288" spans="1:8" x14ac:dyDescent="0.4">
      <c r="A288" t="s">
        <v>191</v>
      </c>
      <c r="B288" t="s">
        <v>437</v>
      </c>
      <c r="D288" t="s">
        <v>293</v>
      </c>
      <c r="E288" t="b">
        <v>0</v>
      </c>
      <c r="H288">
        <v>0</v>
      </c>
    </row>
    <row r="289" spans="1:8" x14ac:dyDescent="0.4">
      <c r="A289" t="s">
        <v>191</v>
      </c>
      <c r="B289" t="s">
        <v>438</v>
      </c>
      <c r="D289" t="s">
        <v>293</v>
      </c>
      <c r="E289" t="b">
        <v>0</v>
      </c>
      <c r="H289">
        <v>0</v>
      </c>
    </row>
    <row r="290" spans="1:8" x14ac:dyDescent="0.4">
      <c r="A290" t="s">
        <v>191</v>
      </c>
      <c r="B290" t="s">
        <v>439</v>
      </c>
      <c r="D290" t="s">
        <v>293</v>
      </c>
      <c r="E290" t="b">
        <v>0</v>
      </c>
      <c r="H290">
        <v>0</v>
      </c>
    </row>
    <row r="291" spans="1:8" x14ac:dyDescent="0.4">
      <c r="A291" t="s">
        <v>194</v>
      </c>
      <c r="B291" t="s">
        <v>440</v>
      </c>
      <c r="C291" t="s">
        <v>136</v>
      </c>
      <c r="D291" t="s">
        <v>53</v>
      </c>
      <c r="E291" t="b">
        <v>1</v>
      </c>
      <c r="H291">
        <v>0</v>
      </c>
    </row>
    <row r="292" spans="1:8" x14ac:dyDescent="0.4">
      <c r="A292" t="s">
        <v>194</v>
      </c>
      <c r="B292" t="s">
        <v>441</v>
      </c>
      <c r="C292" t="s">
        <v>136</v>
      </c>
      <c r="D292" t="s">
        <v>53</v>
      </c>
      <c r="E292" t="b">
        <v>1</v>
      </c>
      <c r="H292">
        <v>0</v>
      </c>
    </row>
    <row r="293" spans="1:8" x14ac:dyDescent="0.4">
      <c r="A293" t="s">
        <v>194</v>
      </c>
      <c r="B293" t="s">
        <v>442</v>
      </c>
      <c r="D293" t="s">
        <v>53</v>
      </c>
      <c r="E293" t="b">
        <v>0</v>
      </c>
      <c r="H293">
        <v>0</v>
      </c>
    </row>
    <row r="294" spans="1:8" x14ac:dyDescent="0.4">
      <c r="A294" t="s">
        <v>196</v>
      </c>
      <c r="B294" t="s">
        <v>443</v>
      </c>
      <c r="C294" t="s">
        <v>136</v>
      </c>
      <c r="D294" t="s">
        <v>293</v>
      </c>
      <c r="E294" t="b">
        <v>1</v>
      </c>
      <c r="H294">
        <v>0</v>
      </c>
    </row>
    <row r="295" spans="1:8" x14ac:dyDescent="0.4">
      <c r="A295" t="s">
        <v>196</v>
      </c>
      <c r="B295" t="s">
        <v>444</v>
      </c>
      <c r="C295" t="s">
        <v>136</v>
      </c>
      <c r="D295" t="s">
        <v>290</v>
      </c>
      <c r="E295" t="b">
        <v>1</v>
      </c>
      <c r="H295">
        <v>0</v>
      </c>
    </row>
    <row r="296" spans="1:8" x14ac:dyDescent="0.4">
      <c r="A296" t="s">
        <v>196</v>
      </c>
      <c r="B296" t="s">
        <v>445</v>
      </c>
      <c r="D296" t="s">
        <v>55</v>
      </c>
      <c r="E296" t="b">
        <v>0</v>
      </c>
      <c r="H296">
        <v>0</v>
      </c>
    </row>
    <row r="297" spans="1:8" x14ac:dyDescent="0.4">
      <c r="A297" t="s">
        <v>196</v>
      </c>
      <c r="B297" t="s">
        <v>441</v>
      </c>
      <c r="D297" t="s">
        <v>290</v>
      </c>
      <c r="E297" t="b">
        <v>0</v>
      </c>
      <c r="H297">
        <v>0</v>
      </c>
    </row>
    <row r="298" spans="1:8" x14ac:dyDescent="0.4">
      <c r="A298" t="s">
        <v>198</v>
      </c>
      <c r="B298" t="s">
        <v>446</v>
      </c>
      <c r="C298" t="s">
        <v>136</v>
      </c>
      <c r="D298" t="s">
        <v>11</v>
      </c>
      <c r="E298" t="b">
        <v>1</v>
      </c>
      <c r="H298">
        <v>0</v>
      </c>
    </row>
    <row r="299" spans="1:8" x14ac:dyDescent="0.4">
      <c r="A299" t="s">
        <v>198</v>
      </c>
      <c r="B299" t="s">
        <v>447</v>
      </c>
      <c r="C299" t="s">
        <v>136</v>
      </c>
      <c r="D299" t="s">
        <v>11</v>
      </c>
      <c r="E299" t="b">
        <v>1</v>
      </c>
      <c r="H299">
        <v>0</v>
      </c>
    </row>
    <row r="300" spans="1:8" x14ac:dyDescent="0.4">
      <c r="A300" t="s">
        <v>198</v>
      </c>
      <c r="B300" t="s">
        <v>448</v>
      </c>
      <c r="C300" t="s">
        <v>136</v>
      </c>
      <c r="D300" t="s">
        <v>11</v>
      </c>
      <c r="E300" t="b">
        <v>1</v>
      </c>
      <c r="H300">
        <v>0</v>
      </c>
    </row>
    <row r="301" spans="1:8" x14ac:dyDescent="0.4">
      <c r="A301" t="s">
        <v>198</v>
      </c>
      <c r="B301" t="s">
        <v>449</v>
      </c>
      <c r="D301" t="s">
        <v>11</v>
      </c>
      <c r="E301" t="b">
        <v>0</v>
      </c>
      <c r="H301">
        <v>0</v>
      </c>
    </row>
    <row r="302" spans="1:8" x14ac:dyDescent="0.4">
      <c r="A302" t="s">
        <v>198</v>
      </c>
      <c r="B302" t="s">
        <v>450</v>
      </c>
      <c r="D302" t="s">
        <v>11</v>
      </c>
      <c r="E302" t="b">
        <v>0</v>
      </c>
      <c r="H302">
        <v>0</v>
      </c>
    </row>
    <row r="303" spans="1:8" x14ac:dyDescent="0.4">
      <c r="A303" t="s">
        <v>198</v>
      </c>
      <c r="B303" t="s">
        <v>451</v>
      </c>
      <c r="D303" t="s">
        <v>11</v>
      </c>
      <c r="E303" t="b">
        <v>0</v>
      </c>
      <c r="H303">
        <v>0</v>
      </c>
    </row>
    <row r="304" spans="1:8" x14ac:dyDescent="0.4">
      <c r="A304" t="s">
        <v>198</v>
      </c>
      <c r="B304" t="s">
        <v>452</v>
      </c>
      <c r="D304" t="s">
        <v>11</v>
      </c>
      <c r="E304" t="b">
        <v>0</v>
      </c>
      <c r="H304">
        <v>0</v>
      </c>
    </row>
    <row r="305" spans="1:8" x14ac:dyDescent="0.4">
      <c r="A305" t="s">
        <v>198</v>
      </c>
      <c r="B305" t="s">
        <v>453</v>
      </c>
      <c r="D305" t="s">
        <v>11</v>
      </c>
      <c r="E305" t="b">
        <v>0</v>
      </c>
      <c r="H305">
        <v>0</v>
      </c>
    </row>
    <row r="306" spans="1:8" x14ac:dyDescent="0.4">
      <c r="A306" t="s">
        <v>198</v>
      </c>
      <c r="B306" t="s">
        <v>454</v>
      </c>
      <c r="D306" t="s">
        <v>11</v>
      </c>
      <c r="E306" t="b">
        <v>0</v>
      </c>
      <c r="H306">
        <v>0</v>
      </c>
    </row>
    <row r="307" spans="1:8" x14ac:dyDescent="0.4">
      <c r="A307" t="s">
        <v>198</v>
      </c>
      <c r="B307" t="s">
        <v>455</v>
      </c>
      <c r="D307" t="s">
        <v>11</v>
      </c>
      <c r="E307" t="b">
        <v>0</v>
      </c>
      <c r="H307">
        <v>0</v>
      </c>
    </row>
    <row r="308" spans="1:8" x14ac:dyDescent="0.4">
      <c r="A308" t="s">
        <v>198</v>
      </c>
      <c r="B308" t="s">
        <v>456</v>
      </c>
      <c r="D308" t="s">
        <v>11</v>
      </c>
      <c r="E308" t="b">
        <v>0</v>
      </c>
      <c r="H308">
        <v>0</v>
      </c>
    </row>
    <row r="309" spans="1:8" x14ac:dyDescent="0.4">
      <c r="A309" t="s">
        <v>198</v>
      </c>
      <c r="B309" t="s">
        <v>457</v>
      </c>
      <c r="D309" t="s">
        <v>11</v>
      </c>
      <c r="E309" t="b">
        <v>0</v>
      </c>
      <c r="H309">
        <v>0</v>
      </c>
    </row>
    <row r="310" spans="1:8" x14ac:dyDescent="0.4">
      <c r="A310" t="s">
        <v>198</v>
      </c>
      <c r="B310" t="s">
        <v>458</v>
      </c>
      <c r="D310" t="s">
        <v>11</v>
      </c>
      <c r="E310" t="b">
        <v>0</v>
      </c>
      <c r="H310">
        <v>0</v>
      </c>
    </row>
    <row r="311" spans="1:8" x14ac:dyDescent="0.4">
      <c r="A311" t="s">
        <v>198</v>
      </c>
      <c r="B311" t="s">
        <v>459</v>
      </c>
      <c r="D311" t="s">
        <v>11</v>
      </c>
      <c r="E311" t="b">
        <v>0</v>
      </c>
      <c r="H311">
        <v>0</v>
      </c>
    </row>
    <row r="312" spans="1:8" x14ac:dyDescent="0.4">
      <c r="A312" t="s">
        <v>198</v>
      </c>
      <c r="B312" t="s">
        <v>460</v>
      </c>
      <c r="D312" t="s">
        <v>11</v>
      </c>
      <c r="E312" t="b">
        <v>0</v>
      </c>
      <c r="H312">
        <v>0</v>
      </c>
    </row>
    <row r="313" spans="1:8" x14ac:dyDescent="0.4">
      <c r="A313" t="s">
        <v>198</v>
      </c>
      <c r="B313" t="s">
        <v>461</v>
      </c>
      <c r="D313" t="s">
        <v>11</v>
      </c>
      <c r="E313" t="b">
        <v>0</v>
      </c>
      <c r="H313">
        <v>0</v>
      </c>
    </row>
    <row r="314" spans="1:8" x14ac:dyDescent="0.4">
      <c r="A314" t="s">
        <v>198</v>
      </c>
      <c r="B314" t="s">
        <v>462</v>
      </c>
      <c r="D314" t="s">
        <v>11</v>
      </c>
      <c r="E314" t="b">
        <v>0</v>
      </c>
      <c r="H314">
        <v>0</v>
      </c>
    </row>
    <row r="315" spans="1:8" x14ac:dyDescent="0.4">
      <c r="A315" t="s">
        <v>198</v>
      </c>
      <c r="B315" t="s">
        <v>463</v>
      </c>
      <c r="D315" t="s">
        <v>11</v>
      </c>
      <c r="E315" t="b">
        <v>0</v>
      </c>
      <c r="H315">
        <v>0</v>
      </c>
    </row>
    <row r="316" spans="1:8" x14ac:dyDescent="0.4">
      <c r="A316" t="s">
        <v>198</v>
      </c>
      <c r="B316" t="s">
        <v>464</v>
      </c>
      <c r="D316" t="s">
        <v>11</v>
      </c>
      <c r="E316" t="b">
        <v>0</v>
      </c>
      <c r="H316">
        <v>0</v>
      </c>
    </row>
    <row r="317" spans="1:8" x14ac:dyDescent="0.4">
      <c r="A317" t="s">
        <v>198</v>
      </c>
      <c r="B317" t="s">
        <v>465</v>
      </c>
      <c r="D317" t="s">
        <v>11</v>
      </c>
      <c r="E317" t="b">
        <v>0</v>
      </c>
      <c r="H317">
        <v>0</v>
      </c>
    </row>
    <row r="318" spans="1:8" x14ac:dyDescent="0.4">
      <c r="A318" t="s">
        <v>198</v>
      </c>
      <c r="B318" t="s">
        <v>466</v>
      </c>
      <c r="D318" t="s">
        <v>11</v>
      </c>
      <c r="E318" t="b">
        <v>0</v>
      </c>
      <c r="H318">
        <v>0</v>
      </c>
    </row>
    <row r="319" spans="1:8" x14ac:dyDescent="0.4">
      <c r="A319" t="s">
        <v>198</v>
      </c>
      <c r="B319" t="s">
        <v>467</v>
      </c>
      <c r="D319" t="s">
        <v>11</v>
      </c>
      <c r="E319" t="b">
        <v>0</v>
      </c>
      <c r="H319">
        <v>0</v>
      </c>
    </row>
    <row r="320" spans="1:8" x14ac:dyDescent="0.4">
      <c r="A320" t="s">
        <v>198</v>
      </c>
      <c r="B320" t="s">
        <v>468</v>
      </c>
      <c r="D320" t="s">
        <v>11</v>
      </c>
      <c r="E320" t="b">
        <v>0</v>
      </c>
      <c r="H320">
        <v>0</v>
      </c>
    </row>
    <row r="321" spans="1:8" x14ac:dyDescent="0.4">
      <c r="A321" t="s">
        <v>198</v>
      </c>
      <c r="B321" t="s">
        <v>469</v>
      </c>
      <c r="D321" t="s">
        <v>11</v>
      </c>
      <c r="E321" t="b">
        <v>0</v>
      </c>
      <c r="H321">
        <v>0</v>
      </c>
    </row>
    <row r="322" spans="1:8" x14ac:dyDescent="0.4">
      <c r="A322" t="s">
        <v>198</v>
      </c>
      <c r="B322" t="s">
        <v>470</v>
      </c>
      <c r="D322" t="s">
        <v>11</v>
      </c>
      <c r="E322" t="b">
        <v>0</v>
      </c>
      <c r="H322">
        <v>0</v>
      </c>
    </row>
    <row r="323" spans="1:8" x14ac:dyDescent="0.4">
      <c r="A323" t="s">
        <v>198</v>
      </c>
      <c r="B323" t="s">
        <v>471</v>
      </c>
      <c r="D323" t="s">
        <v>11</v>
      </c>
      <c r="E323" t="b">
        <v>0</v>
      </c>
      <c r="H323">
        <v>0</v>
      </c>
    </row>
    <row r="324" spans="1:8" x14ac:dyDescent="0.4">
      <c r="A324" t="s">
        <v>198</v>
      </c>
      <c r="B324" t="s">
        <v>472</v>
      </c>
      <c r="D324" t="s">
        <v>11</v>
      </c>
      <c r="E324" t="b">
        <v>0</v>
      </c>
      <c r="H324">
        <v>0</v>
      </c>
    </row>
    <row r="325" spans="1:8" x14ac:dyDescent="0.4">
      <c r="A325" t="s">
        <v>198</v>
      </c>
      <c r="B325" t="s">
        <v>473</v>
      </c>
      <c r="D325" t="s">
        <v>11</v>
      </c>
      <c r="E325" t="b">
        <v>0</v>
      </c>
      <c r="H325">
        <v>0</v>
      </c>
    </row>
    <row r="326" spans="1:8" x14ac:dyDescent="0.4">
      <c r="A326" t="s">
        <v>198</v>
      </c>
      <c r="B326" t="s">
        <v>474</v>
      </c>
      <c r="D326" t="s">
        <v>11</v>
      </c>
      <c r="E326" t="b">
        <v>0</v>
      </c>
      <c r="H326">
        <v>0</v>
      </c>
    </row>
    <row r="327" spans="1:8" x14ac:dyDescent="0.4">
      <c r="A327" t="s">
        <v>198</v>
      </c>
      <c r="B327" t="s">
        <v>475</v>
      </c>
      <c r="D327" t="s">
        <v>11</v>
      </c>
      <c r="E327" t="b">
        <v>0</v>
      </c>
      <c r="H327">
        <v>0</v>
      </c>
    </row>
    <row r="328" spans="1:8" x14ac:dyDescent="0.4">
      <c r="A328" t="s">
        <v>201</v>
      </c>
      <c r="B328" t="s">
        <v>476</v>
      </c>
      <c r="D328" t="s">
        <v>293</v>
      </c>
      <c r="E328" t="b">
        <v>0</v>
      </c>
      <c r="H328">
        <v>0</v>
      </c>
    </row>
    <row r="329" spans="1:8" x14ac:dyDescent="0.4">
      <c r="A329" t="s">
        <v>201</v>
      </c>
      <c r="B329" t="s">
        <v>477</v>
      </c>
      <c r="D329" t="s">
        <v>293</v>
      </c>
      <c r="E329" t="b">
        <v>0</v>
      </c>
      <c r="H329">
        <v>0</v>
      </c>
    </row>
    <row r="330" spans="1:8" x14ac:dyDescent="0.4">
      <c r="A330" t="s">
        <v>201</v>
      </c>
      <c r="B330" t="s">
        <v>478</v>
      </c>
      <c r="D330" t="s">
        <v>293</v>
      </c>
      <c r="E330" t="b">
        <v>0</v>
      </c>
      <c r="H330">
        <v>0</v>
      </c>
    </row>
    <row r="331" spans="1:8" x14ac:dyDescent="0.4">
      <c r="A331" t="s">
        <v>201</v>
      </c>
      <c r="B331" t="s">
        <v>479</v>
      </c>
      <c r="D331" t="s">
        <v>293</v>
      </c>
      <c r="E331" t="b">
        <v>0</v>
      </c>
      <c r="H331">
        <v>0</v>
      </c>
    </row>
    <row r="332" spans="1:8" x14ac:dyDescent="0.4">
      <c r="A332" t="s">
        <v>201</v>
      </c>
      <c r="B332" t="s">
        <v>480</v>
      </c>
      <c r="D332" t="s">
        <v>293</v>
      </c>
      <c r="E332" t="b">
        <v>0</v>
      </c>
      <c r="H332">
        <v>0</v>
      </c>
    </row>
    <row r="333" spans="1:8" x14ac:dyDescent="0.4">
      <c r="A333" t="s">
        <v>201</v>
      </c>
      <c r="B333" t="s">
        <v>481</v>
      </c>
      <c r="D333" t="s">
        <v>293</v>
      </c>
      <c r="E333" t="b">
        <v>0</v>
      </c>
      <c r="H333">
        <v>0</v>
      </c>
    </row>
    <row r="334" spans="1:8" x14ac:dyDescent="0.4">
      <c r="A334" t="s">
        <v>201</v>
      </c>
      <c r="B334" t="s">
        <v>482</v>
      </c>
      <c r="D334" t="s">
        <v>293</v>
      </c>
      <c r="E334" t="b">
        <v>0</v>
      </c>
      <c r="H334">
        <v>0</v>
      </c>
    </row>
    <row r="335" spans="1:8" x14ac:dyDescent="0.4">
      <c r="A335" t="s">
        <v>201</v>
      </c>
      <c r="B335" t="s">
        <v>483</v>
      </c>
      <c r="D335" t="s">
        <v>293</v>
      </c>
      <c r="E335" t="b">
        <v>0</v>
      </c>
      <c r="H335">
        <v>0</v>
      </c>
    </row>
    <row r="336" spans="1:8" x14ac:dyDescent="0.4">
      <c r="A336" t="s">
        <v>201</v>
      </c>
      <c r="B336" t="s">
        <v>484</v>
      </c>
      <c r="D336" t="s">
        <v>293</v>
      </c>
      <c r="E336" t="b">
        <v>0</v>
      </c>
      <c r="H336">
        <v>0</v>
      </c>
    </row>
    <row r="337" spans="1:8" x14ac:dyDescent="0.4">
      <c r="A337" t="s">
        <v>201</v>
      </c>
      <c r="B337" t="s">
        <v>485</v>
      </c>
      <c r="D337" t="s">
        <v>293</v>
      </c>
      <c r="E337" t="b">
        <v>0</v>
      </c>
      <c r="H337">
        <v>0</v>
      </c>
    </row>
    <row r="338" spans="1:8" x14ac:dyDescent="0.4">
      <c r="A338" t="s">
        <v>201</v>
      </c>
      <c r="B338" t="s">
        <v>486</v>
      </c>
      <c r="D338" t="s">
        <v>293</v>
      </c>
      <c r="E338" t="b">
        <v>0</v>
      </c>
      <c r="H338">
        <v>0</v>
      </c>
    </row>
    <row r="339" spans="1:8" x14ac:dyDescent="0.4">
      <c r="A339" t="s">
        <v>201</v>
      </c>
      <c r="B339" t="s">
        <v>487</v>
      </c>
      <c r="D339" t="s">
        <v>293</v>
      </c>
      <c r="E339" t="b">
        <v>0</v>
      </c>
      <c r="H339">
        <v>0</v>
      </c>
    </row>
    <row r="340" spans="1:8" x14ac:dyDescent="0.4">
      <c r="A340" t="s">
        <v>201</v>
      </c>
      <c r="B340" t="s">
        <v>488</v>
      </c>
      <c r="D340" t="s">
        <v>293</v>
      </c>
      <c r="E340" t="b">
        <v>0</v>
      </c>
      <c r="H340">
        <v>0</v>
      </c>
    </row>
    <row r="341" spans="1:8" x14ac:dyDescent="0.4">
      <c r="A341" t="s">
        <v>201</v>
      </c>
      <c r="B341" t="s">
        <v>489</v>
      </c>
      <c r="D341" t="s">
        <v>293</v>
      </c>
      <c r="E341" t="b">
        <v>0</v>
      </c>
      <c r="H341">
        <v>0</v>
      </c>
    </row>
    <row r="342" spans="1:8" x14ac:dyDescent="0.4">
      <c r="A342" t="s">
        <v>201</v>
      </c>
      <c r="B342" t="s">
        <v>490</v>
      </c>
      <c r="D342" t="s">
        <v>293</v>
      </c>
      <c r="E342" t="b">
        <v>0</v>
      </c>
      <c r="H342">
        <v>0</v>
      </c>
    </row>
    <row r="343" spans="1:8" x14ac:dyDescent="0.4">
      <c r="A343" t="s">
        <v>201</v>
      </c>
      <c r="B343" t="s">
        <v>491</v>
      </c>
      <c r="D343" t="s">
        <v>293</v>
      </c>
      <c r="E343" t="b">
        <v>0</v>
      </c>
      <c r="H343">
        <v>0</v>
      </c>
    </row>
    <row r="344" spans="1:8" x14ac:dyDescent="0.4">
      <c r="A344" t="s">
        <v>201</v>
      </c>
      <c r="B344" t="s">
        <v>492</v>
      </c>
      <c r="D344" t="s">
        <v>293</v>
      </c>
      <c r="E344" t="b">
        <v>0</v>
      </c>
      <c r="H344">
        <v>0</v>
      </c>
    </row>
    <row r="345" spans="1:8" x14ac:dyDescent="0.4">
      <c r="A345" t="s">
        <v>201</v>
      </c>
      <c r="B345" t="s">
        <v>493</v>
      </c>
      <c r="D345" t="s">
        <v>293</v>
      </c>
      <c r="E345" t="b">
        <v>0</v>
      </c>
      <c r="H345">
        <v>0</v>
      </c>
    </row>
    <row r="346" spans="1:8" x14ac:dyDescent="0.4">
      <c r="A346" t="s">
        <v>201</v>
      </c>
      <c r="B346" t="s">
        <v>494</v>
      </c>
      <c r="D346" t="s">
        <v>293</v>
      </c>
      <c r="E346" t="b">
        <v>0</v>
      </c>
      <c r="H346">
        <v>0</v>
      </c>
    </row>
    <row r="347" spans="1:8" x14ac:dyDescent="0.4">
      <c r="A347" t="s">
        <v>201</v>
      </c>
      <c r="B347" t="s">
        <v>495</v>
      </c>
      <c r="D347" t="s">
        <v>293</v>
      </c>
      <c r="E347" t="b">
        <v>0</v>
      </c>
      <c r="H347">
        <v>0</v>
      </c>
    </row>
    <row r="348" spans="1:8" x14ac:dyDescent="0.4">
      <c r="A348" t="s">
        <v>201</v>
      </c>
      <c r="B348" t="s">
        <v>496</v>
      </c>
      <c r="D348" t="s">
        <v>293</v>
      </c>
      <c r="E348" t="b">
        <v>0</v>
      </c>
      <c r="H348">
        <v>0</v>
      </c>
    </row>
    <row r="349" spans="1:8" x14ac:dyDescent="0.4">
      <c r="A349" t="s">
        <v>201</v>
      </c>
      <c r="B349" t="s">
        <v>497</v>
      </c>
      <c r="D349" t="s">
        <v>293</v>
      </c>
      <c r="E349" t="b">
        <v>0</v>
      </c>
      <c r="H349">
        <v>0</v>
      </c>
    </row>
    <row r="350" spans="1:8" x14ac:dyDescent="0.4">
      <c r="A350" t="s">
        <v>201</v>
      </c>
      <c r="B350" t="s">
        <v>498</v>
      </c>
      <c r="D350" t="s">
        <v>293</v>
      </c>
      <c r="E350" t="b">
        <v>0</v>
      </c>
      <c r="H350">
        <v>0</v>
      </c>
    </row>
    <row r="351" spans="1:8" x14ac:dyDescent="0.4">
      <c r="A351" t="s">
        <v>201</v>
      </c>
      <c r="B351" t="s">
        <v>499</v>
      </c>
      <c r="D351" t="s">
        <v>293</v>
      </c>
      <c r="E351" t="b">
        <v>0</v>
      </c>
      <c r="H351">
        <v>0</v>
      </c>
    </row>
    <row r="352" spans="1:8" x14ac:dyDescent="0.4">
      <c r="A352" t="s">
        <v>201</v>
      </c>
      <c r="B352" t="s">
        <v>500</v>
      </c>
      <c r="D352" t="s">
        <v>293</v>
      </c>
      <c r="E352" t="b">
        <v>0</v>
      </c>
      <c r="H352">
        <v>0</v>
      </c>
    </row>
    <row r="353" spans="1:8" x14ac:dyDescent="0.4">
      <c r="A353" t="s">
        <v>201</v>
      </c>
      <c r="B353" t="s">
        <v>501</v>
      </c>
      <c r="D353" t="s">
        <v>293</v>
      </c>
      <c r="E353" t="b">
        <v>0</v>
      </c>
      <c r="H353">
        <v>0</v>
      </c>
    </row>
    <row r="354" spans="1:8" x14ac:dyDescent="0.4">
      <c r="A354" t="s">
        <v>201</v>
      </c>
      <c r="B354" t="s">
        <v>502</v>
      </c>
      <c r="D354" t="s">
        <v>293</v>
      </c>
      <c r="E354" t="b">
        <v>0</v>
      </c>
      <c r="H354">
        <v>0</v>
      </c>
    </row>
    <row r="355" spans="1:8" x14ac:dyDescent="0.4">
      <c r="A355" t="s">
        <v>201</v>
      </c>
      <c r="B355" t="s">
        <v>503</v>
      </c>
      <c r="D355" t="s">
        <v>293</v>
      </c>
      <c r="E355" t="b">
        <v>0</v>
      </c>
      <c r="H355">
        <v>0</v>
      </c>
    </row>
    <row r="356" spans="1:8" x14ac:dyDescent="0.4">
      <c r="A356" t="s">
        <v>201</v>
      </c>
      <c r="B356" t="s">
        <v>504</v>
      </c>
      <c r="D356" t="s">
        <v>293</v>
      </c>
      <c r="E356" t="b">
        <v>0</v>
      </c>
      <c r="H356">
        <v>0</v>
      </c>
    </row>
    <row r="357" spans="1:8" x14ac:dyDescent="0.4">
      <c r="A357" t="s">
        <v>201</v>
      </c>
      <c r="B357" t="s">
        <v>505</v>
      </c>
      <c r="D357" t="s">
        <v>293</v>
      </c>
      <c r="E357" t="b">
        <v>0</v>
      </c>
      <c r="H357">
        <v>0</v>
      </c>
    </row>
    <row r="358" spans="1:8" x14ac:dyDescent="0.4">
      <c r="A358" t="s">
        <v>201</v>
      </c>
      <c r="B358" t="s">
        <v>506</v>
      </c>
      <c r="D358" t="s">
        <v>293</v>
      </c>
      <c r="E358" t="b">
        <v>0</v>
      </c>
      <c r="H358">
        <v>0</v>
      </c>
    </row>
    <row r="359" spans="1:8" x14ac:dyDescent="0.4">
      <c r="A359" t="s">
        <v>201</v>
      </c>
      <c r="B359" t="s">
        <v>507</v>
      </c>
      <c r="D359" t="s">
        <v>293</v>
      </c>
      <c r="E359" t="b">
        <v>0</v>
      </c>
      <c r="H359">
        <v>0</v>
      </c>
    </row>
    <row r="360" spans="1:8" x14ac:dyDescent="0.4">
      <c r="A360" t="s">
        <v>201</v>
      </c>
      <c r="B360" t="s">
        <v>508</v>
      </c>
      <c r="D360" t="s">
        <v>293</v>
      </c>
      <c r="E360" t="b">
        <v>0</v>
      </c>
      <c r="H360">
        <v>0</v>
      </c>
    </row>
    <row r="361" spans="1:8" x14ac:dyDescent="0.4">
      <c r="A361" t="s">
        <v>201</v>
      </c>
      <c r="B361" t="s">
        <v>509</v>
      </c>
      <c r="D361" t="s">
        <v>293</v>
      </c>
      <c r="E361" t="b">
        <v>0</v>
      </c>
      <c r="H361">
        <v>0</v>
      </c>
    </row>
    <row r="362" spans="1:8" x14ac:dyDescent="0.4">
      <c r="A362" t="s">
        <v>201</v>
      </c>
      <c r="B362" t="s">
        <v>471</v>
      </c>
      <c r="D362" t="s">
        <v>293</v>
      </c>
      <c r="E362" t="b">
        <v>0</v>
      </c>
      <c r="H362">
        <v>0</v>
      </c>
    </row>
    <row r="363" spans="1:8" x14ac:dyDescent="0.4">
      <c r="A363" t="s">
        <v>201</v>
      </c>
      <c r="B363" t="s">
        <v>472</v>
      </c>
      <c r="D363" t="s">
        <v>293</v>
      </c>
      <c r="E363" t="b">
        <v>0</v>
      </c>
      <c r="H363">
        <v>0</v>
      </c>
    </row>
    <row r="364" spans="1:8" x14ac:dyDescent="0.4">
      <c r="A364" t="s">
        <v>201</v>
      </c>
      <c r="B364" t="s">
        <v>473</v>
      </c>
      <c r="D364" t="s">
        <v>293</v>
      </c>
      <c r="E364" t="b">
        <v>0</v>
      </c>
      <c r="H364">
        <v>0</v>
      </c>
    </row>
    <row r="365" spans="1:8" x14ac:dyDescent="0.4">
      <c r="A365" t="s">
        <v>201</v>
      </c>
      <c r="B365" t="s">
        <v>474</v>
      </c>
      <c r="D365" t="s">
        <v>293</v>
      </c>
      <c r="E365" t="b">
        <v>0</v>
      </c>
      <c r="H365">
        <v>0</v>
      </c>
    </row>
    <row r="366" spans="1:8" x14ac:dyDescent="0.4">
      <c r="A366" t="s">
        <v>201</v>
      </c>
      <c r="B366" t="s">
        <v>475</v>
      </c>
      <c r="D366" t="s">
        <v>293</v>
      </c>
      <c r="E366" t="b">
        <v>0</v>
      </c>
      <c r="H366">
        <v>0</v>
      </c>
    </row>
    <row r="367" spans="1:8" x14ac:dyDescent="0.4">
      <c r="A367" t="s">
        <v>201</v>
      </c>
      <c r="B367" t="s">
        <v>510</v>
      </c>
      <c r="D367" t="s">
        <v>293</v>
      </c>
      <c r="E367" t="b">
        <v>0</v>
      </c>
      <c r="H367">
        <v>0</v>
      </c>
    </row>
    <row r="368" spans="1:8" x14ac:dyDescent="0.4">
      <c r="A368" t="s">
        <v>203</v>
      </c>
      <c r="B368" t="s">
        <v>511</v>
      </c>
      <c r="D368" t="s">
        <v>293</v>
      </c>
      <c r="E368" t="b">
        <v>0</v>
      </c>
      <c r="H368">
        <v>0</v>
      </c>
    </row>
    <row r="369" spans="1:8" x14ac:dyDescent="0.4">
      <c r="A369" t="s">
        <v>203</v>
      </c>
      <c r="B369" t="s">
        <v>284</v>
      </c>
      <c r="D369" t="s">
        <v>293</v>
      </c>
      <c r="E369" t="b">
        <v>0</v>
      </c>
      <c r="H369">
        <v>0</v>
      </c>
    </row>
    <row r="370" spans="1:8" x14ac:dyDescent="0.4">
      <c r="A370" t="s">
        <v>203</v>
      </c>
      <c r="B370" t="s">
        <v>512</v>
      </c>
      <c r="D370" t="s">
        <v>293</v>
      </c>
      <c r="E370" t="b">
        <v>0</v>
      </c>
      <c r="H370">
        <v>0</v>
      </c>
    </row>
    <row r="371" spans="1:8" x14ac:dyDescent="0.4">
      <c r="A371" t="s">
        <v>203</v>
      </c>
      <c r="B371" t="s">
        <v>513</v>
      </c>
      <c r="D371" t="s">
        <v>293</v>
      </c>
      <c r="E371" t="b">
        <v>0</v>
      </c>
      <c r="H371">
        <v>0</v>
      </c>
    </row>
    <row r="372" spans="1:8" x14ac:dyDescent="0.4">
      <c r="A372" t="s">
        <v>203</v>
      </c>
      <c r="B372" t="s">
        <v>514</v>
      </c>
      <c r="D372" t="s">
        <v>293</v>
      </c>
      <c r="E372" t="b">
        <v>0</v>
      </c>
      <c r="H372">
        <v>0</v>
      </c>
    </row>
    <row r="373" spans="1:8" x14ac:dyDescent="0.4">
      <c r="A373" t="s">
        <v>203</v>
      </c>
      <c r="B373" t="s">
        <v>515</v>
      </c>
      <c r="D373" t="s">
        <v>293</v>
      </c>
      <c r="E373" t="b">
        <v>0</v>
      </c>
      <c r="H373">
        <v>0</v>
      </c>
    </row>
    <row r="374" spans="1:8" x14ac:dyDescent="0.4">
      <c r="A374" t="s">
        <v>203</v>
      </c>
      <c r="B374" t="s">
        <v>516</v>
      </c>
      <c r="D374" t="s">
        <v>293</v>
      </c>
      <c r="E374" t="b">
        <v>0</v>
      </c>
      <c r="H374">
        <v>0</v>
      </c>
    </row>
    <row r="375" spans="1:8" x14ac:dyDescent="0.4">
      <c r="A375" t="s">
        <v>203</v>
      </c>
      <c r="B375" t="s">
        <v>517</v>
      </c>
      <c r="D375" t="s">
        <v>293</v>
      </c>
      <c r="E375" t="b">
        <v>0</v>
      </c>
      <c r="H375">
        <v>0</v>
      </c>
    </row>
    <row r="376" spans="1:8" x14ac:dyDescent="0.4">
      <c r="A376" t="s">
        <v>203</v>
      </c>
      <c r="B376" t="s">
        <v>518</v>
      </c>
      <c r="D376" t="s">
        <v>293</v>
      </c>
      <c r="E376" t="b">
        <v>0</v>
      </c>
      <c r="H376">
        <v>0</v>
      </c>
    </row>
    <row r="377" spans="1:8" x14ac:dyDescent="0.4">
      <c r="A377" t="s">
        <v>203</v>
      </c>
      <c r="B377" t="s">
        <v>519</v>
      </c>
      <c r="D377" t="s">
        <v>293</v>
      </c>
      <c r="E377" t="b">
        <v>0</v>
      </c>
      <c r="H377">
        <v>0</v>
      </c>
    </row>
    <row r="378" spans="1:8" x14ac:dyDescent="0.4">
      <c r="A378" t="s">
        <v>203</v>
      </c>
      <c r="B378" t="s">
        <v>520</v>
      </c>
      <c r="D378" t="s">
        <v>293</v>
      </c>
      <c r="E378" t="b">
        <v>0</v>
      </c>
      <c r="H378">
        <v>0</v>
      </c>
    </row>
    <row r="379" spans="1:8" x14ac:dyDescent="0.4">
      <c r="A379" t="s">
        <v>203</v>
      </c>
      <c r="B379" t="s">
        <v>521</v>
      </c>
      <c r="D379" t="s">
        <v>293</v>
      </c>
      <c r="E379" t="b">
        <v>0</v>
      </c>
      <c r="H379">
        <v>0</v>
      </c>
    </row>
    <row r="380" spans="1:8" x14ac:dyDescent="0.4">
      <c r="A380" t="s">
        <v>203</v>
      </c>
      <c r="B380" t="s">
        <v>504</v>
      </c>
      <c r="D380" t="s">
        <v>293</v>
      </c>
      <c r="E380" t="b">
        <v>0</v>
      </c>
      <c r="H380">
        <v>0</v>
      </c>
    </row>
    <row r="381" spans="1:8" x14ac:dyDescent="0.4">
      <c r="A381" t="s">
        <v>203</v>
      </c>
      <c r="B381" t="s">
        <v>505</v>
      </c>
      <c r="D381" t="s">
        <v>293</v>
      </c>
      <c r="E381" t="b">
        <v>0</v>
      </c>
      <c r="H381">
        <v>0</v>
      </c>
    </row>
    <row r="382" spans="1:8" x14ac:dyDescent="0.4">
      <c r="A382" t="s">
        <v>203</v>
      </c>
      <c r="B382" t="s">
        <v>506</v>
      </c>
      <c r="D382" t="s">
        <v>293</v>
      </c>
      <c r="E382" t="b">
        <v>0</v>
      </c>
      <c r="H382">
        <v>0</v>
      </c>
    </row>
    <row r="383" spans="1:8" x14ac:dyDescent="0.4">
      <c r="A383" t="s">
        <v>203</v>
      </c>
      <c r="B383" t="s">
        <v>507</v>
      </c>
      <c r="D383" t="s">
        <v>293</v>
      </c>
      <c r="E383" t="b">
        <v>0</v>
      </c>
      <c r="H383">
        <v>0</v>
      </c>
    </row>
    <row r="384" spans="1:8" x14ac:dyDescent="0.4">
      <c r="A384" t="s">
        <v>203</v>
      </c>
      <c r="B384" t="s">
        <v>522</v>
      </c>
      <c r="D384" t="s">
        <v>293</v>
      </c>
      <c r="E384" t="b">
        <v>0</v>
      </c>
      <c r="H384">
        <v>0</v>
      </c>
    </row>
    <row r="385" spans="1:8" x14ac:dyDescent="0.4">
      <c r="A385" t="s">
        <v>203</v>
      </c>
      <c r="B385" t="s">
        <v>470</v>
      </c>
      <c r="D385" t="s">
        <v>293</v>
      </c>
      <c r="E385" t="b">
        <v>0</v>
      </c>
      <c r="H385">
        <v>0</v>
      </c>
    </row>
    <row r="386" spans="1:8" x14ac:dyDescent="0.4">
      <c r="A386" t="s">
        <v>203</v>
      </c>
      <c r="B386" t="s">
        <v>471</v>
      </c>
      <c r="D386" t="s">
        <v>293</v>
      </c>
      <c r="E386" t="b">
        <v>0</v>
      </c>
      <c r="H386">
        <v>0</v>
      </c>
    </row>
    <row r="387" spans="1:8" x14ac:dyDescent="0.4">
      <c r="A387" t="s">
        <v>203</v>
      </c>
      <c r="B387" t="s">
        <v>472</v>
      </c>
      <c r="D387" t="s">
        <v>293</v>
      </c>
      <c r="E387" t="b">
        <v>0</v>
      </c>
      <c r="H387">
        <v>0</v>
      </c>
    </row>
    <row r="388" spans="1:8" x14ac:dyDescent="0.4">
      <c r="A388" t="s">
        <v>203</v>
      </c>
      <c r="B388" t="s">
        <v>473</v>
      </c>
      <c r="D388" t="s">
        <v>293</v>
      </c>
      <c r="E388" t="b">
        <v>0</v>
      </c>
      <c r="H388">
        <v>0</v>
      </c>
    </row>
    <row r="389" spans="1:8" x14ac:dyDescent="0.4">
      <c r="A389" t="s">
        <v>203</v>
      </c>
      <c r="B389" t="s">
        <v>474</v>
      </c>
      <c r="D389" t="s">
        <v>293</v>
      </c>
      <c r="E389" t="b">
        <v>0</v>
      </c>
      <c r="H389">
        <v>0</v>
      </c>
    </row>
    <row r="390" spans="1:8" x14ac:dyDescent="0.4">
      <c r="A390" t="s">
        <v>203</v>
      </c>
      <c r="B390" t="s">
        <v>475</v>
      </c>
      <c r="D390" t="s">
        <v>293</v>
      </c>
      <c r="E390" t="b">
        <v>0</v>
      </c>
      <c r="H390">
        <v>0</v>
      </c>
    </row>
    <row r="391" spans="1:8" x14ac:dyDescent="0.4">
      <c r="A391" t="s">
        <v>203</v>
      </c>
      <c r="B391" t="s">
        <v>510</v>
      </c>
      <c r="D391" t="s">
        <v>293</v>
      </c>
      <c r="E391" t="b">
        <v>0</v>
      </c>
      <c r="H391">
        <v>0</v>
      </c>
    </row>
    <row r="392" spans="1:8" x14ac:dyDescent="0.4">
      <c r="A392" t="s">
        <v>205</v>
      </c>
      <c r="B392" t="s">
        <v>523</v>
      </c>
      <c r="C392" t="s">
        <v>136</v>
      </c>
      <c r="D392" t="s">
        <v>293</v>
      </c>
      <c r="E392" t="b">
        <v>1</v>
      </c>
      <c r="H392">
        <v>0</v>
      </c>
    </row>
    <row r="393" spans="1:8" x14ac:dyDescent="0.4">
      <c r="A393" t="s">
        <v>205</v>
      </c>
      <c r="B393" t="s">
        <v>524</v>
      </c>
      <c r="D393" t="s">
        <v>293</v>
      </c>
      <c r="E393" t="b">
        <v>0</v>
      </c>
      <c r="H393">
        <v>0</v>
      </c>
    </row>
    <row r="394" spans="1:8" x14ac:dyDescent="0.4">
      <c r="A394" t="s">
        <v>205</v>
      </c>
      <c r="B394" t="s">
        <v>525</v>
      </c>
      <c r="D394" t="s">
        <v>293</v>
      </c>
      <c r="E394" t="b">
        <v>0</v>
      </c>
      <c r="H394">
        <v>0</v>
      </c>
    </row>
    <row r="395" spans="1:8" x14ac:dyDescent="0.4">
      <c r="A395" t="s">
        <v>205</v>
      </c>
      <c r="B395" t="s">
        <v>526</v>
      </c>
      <c r="D395" t="s">
        <v>293</v>
      </c>
      <c r="E395" t="b">
        <v>0</v>
      </c>
      <c r="H395">
        <v>0</v>
      </c>
    </row>
    <row r="396" spans="1:8" x14ac:dyDescent="0.4">
      <c r="A396" t="s">
        <v>205</v>
      </c>
      <c r="B396" t="s">
        <v>527</v>
      </c>
      <c r="D396" t="s">
        <v>293</v>
      </c>
      <c r="E396" t="b">
        <v>0</v>
      </c>
      <c r="H396">
        <v>0</v>
      </c>
    </row>
    <row r="397" spans="1:8" x14ac:dyDescent="0.4">
      <c r="A397" t="s">
        <v>205</v>
      </c>
      <c r="B397" t="s">
        <v>528</v>
      </c>
      <c r="D397" t="s">
        <v>293</v>
      </c>
      <c r="E397" t="b">
        <v>0</v>
      </c>
      <c r="H397">
        <v>0</v>
      </c>
    </row>
    <row r="398" spans="1:8" x14ac:dyDescent="0.4">
      <c r="A398" t="s">
        <v>205</v>
      </c>
      <c r="B398" t="s">
        <v>529</v>
      </c>
      <c r="D398" t="s">
        <v>293</v>
      </c>
      <c r="E398" t="b">
        <v>0</v>
      </c>
      <c r="H398">
        <v>0</v>
      </c>
    </row>
    <row r="399" spans="1:8" x14ac:dyDescent="0.4">
      <c r="A399" t="s">
        <v>205</v>
      </c>
      <c r="B399" t="s">
        <v>530</v>
      </c>
      <c r="D399" t="s">
        <v>293</v>
      </c>
      <c r="E399" t="b">
        <v>0</v>
      </c>
      <c r="H399">
        <v>0</v>
      </c>
    </row>
    <row r="400" spans="1:8" x14ac:dyDescent="0.4">
      <c r="A400" t="s">
        <v>205</v>
      </c>
      <c r="B400" t="s">
        <v>531</v>
      </c>
      <c r="D400" t="s">
        <v>293</v>
      </c>
      <c r="E400" t="b">
        <v>0</v>
      </c>
      <c r="H400">
        <v>0</v>
      </c>
    </row>
    <row r="401" spans="1:8" x14ac:dyDescent="0.4">
      <c r="A401" t="s">
        <v>205</v>
      </c>
      <c r="B401" t="s">
        <v>532</v>
      </c>
      <c r="D401" t="s">
        <v>293</v>
      </c>
      <c r="E401" t="b">
        <v>0</v>
      </c>
      <c r="H401">
        <v>0</v>
      </c>
    </row>
    <row r="402" spans="1:8" x14ac:dyDescent="0.4">
      <c r="A402" t="s">
        <v>205</v>
      </c>
      <c r="B402" t="s">
        <v>533</v>
      </c>
      <c r="D402" t="s">
        <v>293</v>
      </c>
      <c r="E402" t="b">
        <v>0</v>
      </c>
      <c r="H402">
        <v>0</v>
      </c>
    </row>
    <row r="403" spans="1:8" x14ac:dyDescent="0.4">
      <c r="A403" t="s">
        <v>205</v>
      </c>
      <c r="B403" t="s">
        <v>534</v>
      </c>
      <c r="D403" t="s">
        <v>293</v>
      </c>
      <c r="E403" t="b">
        <v>0</v>
      </c>
      <c r="H403">
        <v>0</v>
      </c>
    </row>
    <row r="404" spans="1:8" x14ac:dyDescent="0.4">
      <c r="A404" t="s">
        <v>205</v>
      </c>
      <c r="B404" t="s">
        <v>535</v>
      </c>
      <c r="D404" t="s">
        <v>293</v>
      </c>
      <c r="E404" t="b">
        <v>0</v>
      </c>
      <c r="H404">
        <v>0</v>
      </c>
    </row>
    <row r="405" spans="1:8" x14ac:dyDescent="0.4">
      <c r="A405" t="s">
        <v>205</v>
      </c>
      <c r="B405" t="s">
        <v>536</v>
      </c>
      <c r="D405" t="s">
        <v>293</v>
      </c>
      <c r="E405" t="b">
        <v>0</v>
      </c>
      <c r="H405">
        <v>0</v>
      </c>
    </row>
    <row r="406" spans="1:8" x14ac:dyDescent="0.4">
      <c r="A406" t="s">
        <v>205</v>
      </c>
      <c r="B406" t="s">
        <v>537</v>
      </c>
      <c r="D406" t="s">
        <v>293</v>
      </c>
      <c r="E406" t="b">
        <v>0</v>
      </c>
      <c r="H406">
        <v>0</v>
      </c>
    </row>
    <row r="407" spans="1:8" x14ac:dyDescent="0.4">
      <c r="A407" t="s">
        <v>207</v>
      </c>
      <c r="B407" t="s">
        <v>538</v>
      </c>
      <c r="D407" t="s">
        <v>28</v>
      </c>
      <c r="E407" t="b">
        <v>0</v>
      </c>
      <c r="H407">
        <v>0</v>
      </c>
    </row>
    <row r="408" spans="1:8" x14ac:dyDescent="0.4">
      <c r="A408" t="s">
        <v>207</v>
      </c>
      <c r="B408" t="s">
        <v>539</v>
      </c>
      <c r="D408" t="s">
        <v>28</v>
      </c>
      <c r="E408" t="b">
        <v>0</v>
      </c>
      <c r="H408">
        <v>0</v>
      </c>
    </row>
    <row r="409" spans="1:8" x14ac:dyDescent="0.4">
      <c r="A409" t="s">
        <v>207</v>
      </c>
      <c r="B409" t="s">
        <v>540</v>
      </c>
      <c r="D409" t="s">
        <v>28</v>
      </c>
      <c r="E409" t="b">
        <v>0</v>
      </c>
      <c r="H409">
        <v>0</v>
      </c>
    </row>
    <row r="410" spans="1:8" x14ac:dyDescent="0.4">
      <c r="A410" t="s">
        <v>207</v>
      </c>
      <c r="B410" t="s">
        <v>541</v>
      </c>
      <c r="D410" t="s">
        <v>28</v>
      </c>
      <c r="E410" t="b">
        <v>0</v>
      </c>
      <c r="H410">
        <v>0</v>
      </c>
    </row>
    <row r="411" spans="1:8" x14ac:dyDescent="0.4">
      <c r="A411" t="s">
        <v>207</v>
      </c>
      <c r="B411" t="s">
        <v>542</v>
      </c>
      <c r="D411" t="s">
        <v>28</v>
      </c>
      <c r="E411" t="b">
        <v>0</v>
      </c>
      <c r="H411">
        <v>0</v>
      </c>
    </row>
    <row r="412" spans="1:8" x14ac:dyDescent="0.4">
      <c r="A412" t="s">
        <v>207</v>
      </c>
      <c r="B412" t="s">
        <v>543</v>
      </c>
      <c r="D412" t="s">
        <v>28</v>
      </c>
      <c r="E412" t="b">
        <v>0</v>
      </c>
      <c r="H412">
        <v>0</v>
      </c>
    </row>
    <row r="413" spans="1:8" x14ac:dyDescent="0.4">
      <c r="A413" t="s">
        <v>207</v>
      </c>
      <c r="B413" t="s">
        <v>544</v>
      </c>
      <c r="D413" t="s">
        <v>28</v>
      </c>
      <c r="E413" t="b">
        <v>0</v>
      </c>
      <c r="H413">
        <v>0</v>
      </c>
    </row>
    <row r="414" spans="1:8" x14ac:dyDescent="0.4">
      <c r="A414" t="s">
        <v>207</v>
      </c>
      <c r="B414" t="s">
        <v>545</v>
      </c>
      <c r="D414" t="s">
        <v>28</v>
      </c>
      <c r="E414" t="b">
        <v>0</v>
      </c>
      <c r="H414">
        <v>0</v>
      </c>
    </row>
    <row r="415" spans="1:8" x14ac:dyDescent="0.4">
      <c r="A415" t="s">
        <v>207</v>
      </c>
      <c r="B415" t="s">
        <v>546</v>
      </c>
      <c r="D415" t="s">
        <v>28</v>
      </c>
      <c r="E415" t="b">
        <v>0</v>
      </c>
      <c r="H415">
        <v>0</v>
      </c>
    </row>
    <row r="416" spans="1:8" x14ac:dyDescent="0.4">
      <c r="A416" t="s">
        <v>207</v>
      </c>
      <c r="B416" t="s">
        <v>547</v>
      </c>
      <c r="D416" t="s">
        <v>28</v>
      </c>
      <c r="E416" t="b">
        <v>0</v>
      </c>
      <c r="H416">
        <v>0</v>
      </c>
    </row>
    <row r="417" spans="1:8" x14ac:dyDescent="0.4">
      <c r="A417" t="s">
        <v>209</v>
      </c>
      <c r="B417" t="s">
        <v>548</v>
      </c>
      <c r="D417" t="s">
        <v>53</v>
      </c>
      <c r="E417" t="b">
        <v>0</v>
      </c>
      <c r="H417">
        <v>0</v>
      </c>
    </row>
    <row r="418" spans="1:8" x14ac:dyDescent="0.4">
      <c r="A418" t="s">
        <v>209</v>
      </c>
      <c r="B418" t="s">
        <v>549</v>
      </c>
      <c r="D418" t="s">
        <v>53</v>
      </c>
      <c r="E418" t="b">
        <v>0</v>
      </c>
      <c r="H418">
        <v>0</v>
      </c>
    </row>
    <row r="419" spans="1:8" x14ac:dyDescent="0.4">
      <c r="A419" t="s">
        <v>209</v>
      </c>
      <c r="B419" t="s">
        <v>550</v>
      </c>
      <c r="D419" t="s">
        <v>53</v>
      </c>
      <c r="E419" t="b">
        <v>0</v>
      </c>
      <c r="H419">
        <v>0</v>
      </c>
    </row>
    <row r="420" spans="1:8" x14ac:dyDescent="0.4">
      <c r="A420" t="s">
        <v>209</v>
      </c>
      <c r="B420" t="s">
        <v>551</v>
      </c>
      <c r="D420" t="s">
        <v>53</v>
      </c>
      <c r="E420" t="b">
        <v>0</v>
      </c>
      <c r="H420">
        <v>0</v>
      </c>
    </row>
    <row r="421" spans="1:8" x14ac:dyDescent="0.4">
      <c r="A421" t="s">
        <v>209</v>
      </c>
      <c r="B421" t="s">
        <v>552</v>
      </c>
      <c r="D421" t="s">
        <v>53</v>
      </c>
      <c r="E421" t="b">
        <v>0</v>
      </c>
      <c r="H421">
        <v>0</v>
      </c>
    </row>
    <row r="422" spans="1:8" x14ac:dyDescent="0.4">
      <c r="A422" t="s">
        <v>209</v>
      </c>
      <c r="B422" t="s">
        <v>553</v>
      </c>
      <c r="D422" t="s">
        <v>53</v>
      </c>
      <c r="E422" t="b">
        <v>0</v>
      </c>
      <c r="H422">
        <v>0</v>
      </c>
    </row>
    <row r="423" spans="1:8" x14ac:dyDescent="0.4">
      <c r="A423" t="s">
        <v>209</v>
      </c>
      <c r="B423" t="s">
        <v>554</v>
      </c>
      <c r="D423" t="s">
        <v>53</v>
      </c>
      <c r="E423" t="b">
        <v>0</v>
      </c>
      <c r="H423">
        <v>0</v>
      </c>
    </row>
    <row r="424" spans="1:8" x14ac:dyDescent="0.4">
      <c r="A424" t="s">
        <v>209</v>
      </c>
      <c r="B424" t="s">
        <v>555</v>
      </c>
      <c r="D424" t="s">
        <v>53</v>
      </c>
      <c r="E424" t="b">
        <v>0</v>
      </c>
      <c r="H424">
        <v>0</v>
      </c>
    </row>
    <row r="425" spans="1:8" x14ac:dyDescent="0.4">
      <c r="A425" t="s">
        <v>209</v>
      </c>
      <c r="B425" t="s">
        <v>556</v>
      </c>
      <c r="D425" t="s">
        <v>53</v>
      </c>
      <c r="E425" t="b">
        <v>0</v>
      </c>
      <c r="H425">
        <v>0</v>
      </c>
    </row>
    <row r="426" spans="1:8" x14ac:dyDescent="0.4">
      <c r="A426" t="s">
        <v>209</v>
      </c>
      <c r="B426" t="s">
        <v>557</v>
      </c>
      <c r="D426" t="s">
        <v>53</v>
      </c>
      <c r="E426" t="b">
        <v>0</v>
      </c>
      <c r="H426">
        <v>0</v>
      </c>
    </row>
    <row r="427" spans="1:8" x14ac:dyDescent="0.4">
      <c r="A427" t="s">
        <v>209</v>
      </c>
      <c r="B427" t="s">
        <v>558</v>
      </c>
      <c r="D427" t="s">
        <v>53</v>
      </c>
      <c r="E427" t="b">
        <v>0</v>
      </c>
      <c r="H427">
        <v>0</v>
      </c>
    </row>
    <row r="428" spans="1:8" x14ac:dyDescent="0.4">
      <c r="A428" t="s">
        <v>209</v>
      </c>
      <c r="B428" t="s">
        <v>559</v>
      </c>
      <c r="D428" t="s">
        <v>53</v>
      </c>
      <c r="E428" t="b">
        <v>0</v>
      </c>
      <c r="H428">
        <v>0</v>
      </c>
    </row>
    <row r="429" spans="1:8" x14ac:dyDescent="0.4">
      <c r="A429" t="s">
        <v>209</v>
      </c>
      <c r="B429" t="s">
        <v>560</v>
      </c>
      <c r="D429" t="s">
        <v>53</v>
      </c>
      <c r="E429" t="b">
        <v>0</v>
      </c>
      <c r="H429">
        <v>0</v>
      </c>
    </row>
    <row r="430" spans="1:8" x14ac:dyDescent="0.4">
      <c r="A430" t="s">
        <v>209</v>
      </c>
      <c r="B430" t="s">
        <v>561</v>
      </c>
      <c r="D430" t="s">
        <v>53</v>
      </c>
      <c r="E430" t="b">
        <v>0</v>
      </c>
      <c r="H430">
        <v>0</v>
      </c>
    </row>
    <row r="431" spans="1:8" x14ac:dyDescent="0.4">
      <c r="A431" t="s">
        <v>209</v>
      </c>
      <c r="B431" t="s">
        <v>562</v>
      </c>
      <c r="D431" t="s">
        <v>53</v>
      </c>
      <c r="E431" t="b">
        <v>0</v>
      </c>
      <c r="H431">
        <v>0</v>
      </c>
    </row>
    <row r="432" spans="1:8" x14ac:dyDescent="0.4">
      <c r="A432" t="s">
        <v>209</v>
      </c>
      <c r="B432" t="s">
        <v>563</v>
      </c>
      <c r="D432" t="s">
        <v>53</v>
      </c>
      <c r="E432" t="b">
        <v>0</v>
      </c>
      <c r="H432">
        <v>0</v>
      </c>
    </row>
    <row r="433" spans="1:8" x14ac:dyDescent="0.4">
      <c r="A433" t="s">
        <v>209</v>
      </c>
      <c r="B433" t="s">
        <v>564</v>
      </c>
      <c r="D433" t="s">
        <v>53</v>
      </c>
      <c r="E433" t="b">
        <v>0</v>
      </c>
      <c r="H433">
        <v>0</v>
      </c>
    </row>
    <row r="434" spans="1:8" x14ac:dyDescent="0.4">
      <c r="A434" t="s">
        <v>209</v>
      </c>
      <c r="B434" t="s">
        <v>565</v>
      </c>
      <c r="D434" t="s">
        <v>53</v>
      </c>
      <c r="E434" t="b">
        <v>0</v>
      </c>
      <c r="H434">
        <v>0</v>
      </c>
    </row>
    <row r="435" spans="1:8" x14ac:dyDescent="0.4">
      <c r="A435" t="s">
        <v>209</v>
      </c>
      <c r="B435" t="s">
        <v>566</v>
      </c>
      <c r="D435" t="s">
        <v>53</v>
      </c>
      <c r="E435" t="b">
        <v>0</v>
      </c>
      <c r="H435">
        <v>0</v>
      </c>
    </row>
    <row r="436" spans="1:8" x14ac:dyDescent="0.4">
      <c r="A436" t="s">
        <v>209</v>
      </c>
      <c r="B436" t="s">
        <v>567</v>
      </c>
      <c r="D436" t="s">
        <v>53</v>
      </c>
      <c r="E436" t="b">
        <v>0</v>
      </c>
      <c r="H436">
        <v>0</v>
      </c>
    </row>
    <row r="437" spans="1:8" x14ac:dyDescent="0.4">
      <c r="A437" t="s">
        <v>209</v>
      </c>
      <c r="B437" t="s">
        <v>568</v>
      </c>
      <c r="D437" t="s">
        <v>53</v>
      </c>
      <c r="E437" t="b">
        <v>0</v>
      </c>
      <c r="H437">
        <v>0</v>
      </c>
    </row>
    <row r="438" spans="1:8" x14ac:dyDescent="0.4">
      <c r="A438" t="s">
        <v>209</v>
      </c>
      <c r="B438" t="s">
        <v>569</v>
      </c>
      <c r="D438" t="s">
        <v>53</v>
      </c>
      <c r="E438" t="b">
        <v>0</v>
      </c>
      <c r="H438">
        <v>0</v>
      </c>
    </row>
    <row r="439" spans="1:8" x14ac:dyDescent="0.4">
      <c r="A439" t="s">
        <v>209</v>
      </c>
      <c r="B439" t="s">
        <v>570</v>
      </c>
      <c r="D439" t="s">
        <v>53</v>
      </c>
      <c r="E439" t="b">
        <v>0</v>
      </c>
      <c r="H439">
        <v>0</v>
      </c>
    </row>
    <row r="440" spans="1:8" x14ac:dyDescent="0.4">
      <c r="A440" t="s">
        <v>209</v>
      </c>
      <c r="B440" t="s">
        <v>571</v>
      </c>
      <c r="D440" t="s">
        <v>53</v>
      </c>
      <c r="E440" t="b">
        <v>0</v>
      </c>
      <c r="H440">
        <v>0</v>
      </c>
    </row>
    <row r="441" spans="1:8" x14ac:dyDescent="0.4">
      <c r="A441" t="s">
        <v>209</v>
      </c>
      <c r="B441" t="s">
        <v>572</v>
      </c>
      <c r="D441" t="s">
        <v>53</v>
      </c>
      <c r="E441" t="b">
        <v>0</v>
      </c>
      <c r="H441">
        <v>0</v>
      </c>
    </row>
    <row r="442" spans="1:8" x14ac:dyDescent="0.4">
      <c r="A442" t="s">
        <v>209</v>
      </c>
      <c r="B442" t="s">
        <v>573</v>
      </c>
      <c r="D442" t="s">
        <v>53</v>
      </c>
      <c r="E442" t="b">
        <v>0</v>
      </c>
      <c r="H442">
        <v>0</v>
      </c>
    </row>
    <row r="443" spans="1:8" x14ac:dyDescent="0.4">
      <c r="A443" t="s">
        <v>209</v>
      </c>
      <c r="B443" t="s">
        <v>574</v>
      </c>
      <c r="D443" t="s">
        <v>53</v>
      </c>
      <c r="E443" t="b">
        <v>0</v>
      </c>
      <c r="H443">
        <v>0</v>
      </c>
    </row>
    <row r="444" spans="1:8" x14ac:dyDescent="0.4">
      <c r="A444" t="s">
        <v>209</v>
      </c>
      <c r="B444" t="s">
        <v>575</v>
      </c>
      <c r="D444" t="s">
        <v>53</v>
      </c>
      <c r="E444" t="b">
        <v>0</v>
      </c>
      <c r="H444">
        <v>0</v>
      </c>
    </row>
    <row r="445" spans="1:8" x14ac:dyDescent="0.4">
      <c r="A445" t="s">
        <v>209</v>
      </c>
      <c r="B445" t="s">
        <v>576</v>
      </c>
      <c r="D445" t="s">
        <v>53</v>
      </c>
      <c r="E445" t="b">
        <v>0</v>
      </c>
      <c r="H445">
        <v>0</v>
      </c>
    </row>
    <row r="446" spans="1:8" x14ac:dyDescent="0.4">
      <c r="A446" t="s">
        <v>209</v>
      </c>
      <c r="B446" t="s">
        <v>577</v>
      </c>
      <c r="D446" t="s">
        <v>53</v>
      </c>
      <c r="E446" t="b">
        <v>0</v>
      </c>
      <c r="H446">
        <v>0</v>
      </c>
    </row>
    <row r="447" spans="1:8" x14ac:dyDescent="0.4">
      <c r="A447" t="s">
        <v>209</v>
      </c>
      <c r="B447" t="s">
        <v>578</v>
      </c>
      <c r="D447" t="s">
        <v>53</v>
      </c>
      <c r="E447" t="b">
        <v>0</v>
      </c>
      <c r="H447">
        <v>0</v>
      </c>
    </row>
    <row r="448" spans="1:8" x14ac:dyDescent="0.4">
      <c r="A448" t="s">
        <v>209</v>
      </c>
      <c r="B448" t="s">
        <v>579</v>
      </c>
      <c r="D448" t="s">
        <v>53</v>
      </c>
      <c r="E448" t="b">
        <v>0</v>
      </c>
      <c r="H448">
        <v>0</v>
      </c>
    </row>
    <row r="449" spans="1:8" x14ac:dyDescent="0.4">
      <c r="A449" t="s">
        <v>209</v>
      </c>
      <c r="B449" t="s">
        <v>580</v>
      </c>
      <c r="D449" t="s">
        <v>53</v>
      </c>
      <c r="E449" t="b">
        <v>0</v>
      </c>
      <c r="H449">
        <v>0</v>
      </c>
    </row>
    <row r="450" spans="1:8" x14ac:dyDescent="0.4">
      <c r="A450" t="s">
        <v>209</v>
      </c>
      <c r="B450" t="s">
        <v>581</v>
      </c>
      <c r="D450" t="s">
        <v>53</v>
      </c>
      <c r="E450" t="b">
        <v>0</v>
      </c>
      <c r="H450">
        <v>0</v>
      </c>
    </row>
    <row r="451" spans="1:8" x14ac:dyDescent="0.4">
      <c r="A451" t="s">
        <v>209</v>
      </c>
      <c r="B451" t="s">
        <v>582</v>
      </c>
      <c r="D451" t="s">
        <v>53</v>
      </c>
      <c r="E451" t="b">
        <v>0</v>
      </c>
      <c r="H451">
        <v>0</v>
      </c>
    </row>
    <row r="452" spans="1:8" x14ac:dyDescent="0.4">
      <c r="A452" t="s">
        <v>209</v>
      </c>
      <c r="B452" t="s">
        <v>583</v>
      </c>
      <c r="D452" t="s">
        <v>53</v>
      </c>
      <c r="E452" t="b">
        <v>0</v>
      </c>
      <c r="H452">
        <v>0</v>
      </c>
    </row>
    <row r="453" spans="1:8" x14ac:dyDescent="0.4">
      <c r="A453" t="s">
        <v>209</v>
      </c>
      <c r="B453" t="s">
        <v>584</v>
      </c>
      <c r="D453" t="s">
        <v>53</v>
      </c>
      <c r="E453" t="b">
        <v>0</v>
      </c>
      <c r="H453">
        <v>0</v>
      </c>
    </row>
    <row r="454" spans="1:8" x14ac:dyDescent="0.4">
      <c r="A454" t="s">
        <v>209</v>
      </c>
      <c r="B454" t="s">
        <v>585</v>
      </c>
      <c r="D454" t="s">
        <v>53</v>
      </c>
      <c r="E454" t="b">
        <v>0</v>
      </c>
      <c r="H454">
        <v>0</v>
      </c>
    </row>
    <row r="455" spans="1:8" x14ac:dyDescent="0.4">
      <c r="A455" t="s">
        <v>209</v>
      </c>
      <c r="B455" t="s">
        <v>586</v>
      </c>
      <c r="D455" t="s">
        <v>53</v>
      </c>
      <c r="E455" t="b">
        <v>0</v>
      </c>
      <c r="H455">
        <v>0</v>
      </c>
    </row>
    <row r="456" spans="1:8" x14ac:dyDescent="0.4">
      <c r="A456" t="s">
        <v>209</v>
      </c>
      <c r="B456" t="s">
        <v>587</v>
      </c>
      <c r="D456" t="s">
        <v>53</v>
      </c>
      <c r="E456" t="b">
        <v>0</v>
      </c>
      <c r="H456">
        <v>0</v>
      </c>
    </row>
    <row r="457" spans="1:8" x14ac:dyDescent="0.4">
      <c r="A457" t="s">
        <v>209</v>
      </c>
      <c r="B457" t="s">
        <v>588</v>
      </c>
      <c r="D457" t="s">
        <v>53</v>
      </c>
      <c r="E457" t="b">
        <v>0</v>
      </c>
      <c r="H457">
        <v>0</v>
      </c>
    </row>
    <row r="458" spans="1:8" x14ac:dyDescent="0.4">
      <c r="A458" t="s">
        <v>209</v>
      </c>
      <c r="B458" t="s">
        <v>589</v>
      </c>
      <c r="D458" t="s">
        <v>53</v>
      </c>
      <c r="E458" t="b">
        <v>0</v>
      </c>
      <c r="H458">
        <v>0</v>
      </c>
    </row>
    <row r="459" spans="1:8" x14ac:dyDescent="0.4">
      <c r="A459" t="s">
        <v>211</v>
      </c>
      <c r="B459" t="s">
        <v>590</v>
      </c>
      <c r="D459" t="s">
        <v>46</v>
      </c>
      <c r="E459" t="b">
        <v>0</v>
      </c>
      <c r="H459">
        <v>0</v>
      </c>
    </row>
    <row r="460" spans="1:8" x14ac:dyDescent="0.4">
      <c r="A460" t="s">
        <v>211</v>
      </c>
      <c r="B460" t="s">
        <v>591</v>
      </c>
      <c r="D460" t="s">
        <v>46</v>
      </c>
      <c r="E460" t="b">
        <v>0</v>
      </c>
      <c r="H460">
        <v>0</v>
      </c>
    </row>
    <row r="461" spans="1:8" x14ac:dyDescent="0.4">
      <c r="A461" t="s">
        <v>211</v>
      </c>
      <c r="B461" t="s">
        <v>592</v>
      </c>
      <c r="D461" t="s">
        <v>46</v>
      </c>
      <c r="E461" t="b">
        <v>0</v>
      </c>
      <c r="H461">
        <v>0</v>
      </c>
    </row>
    <row r="462" spans="1:8" x14ac:dyDescent="0.4">
      <c r="A462" t="s">
        <v>211</v>
      </c>
      <c r="B462" t="s">
        <v>593</v>
      </c>
      <c r="D462" t="s">
        <v>46</v>
      </c>
      <c r="E462" t="b">
        <v>0</v>
      </c>
      <c r="H462">
        <v>0</v>
      </c>
    </row>
    <row r="463" spans="1:8" x14ac:dyDescent="0.4">
      <c r="A463" t="s">
        <v>211</v>
      </c>
      <c r="B463" t="s">
        <v>594</v>
      </c>
      <c r="D463" t="s">
        <v>46</v>
      </c>
      <c r="E463" t="b">
        <v>0</v>
      </c>
      <c r="H463">
        <v>0</v>
      </c>
    </row>
    <row r="464" spans="1:8" x14ac:dyDescent="0.4">
      <c r="A464" t="s">
        <v>211</v>
      </c>
      <c r="B464" t="s">
        <v>595</v>
      </c>
      <c r="D464" t="s">
        <v>46</v>
      </c>
      <c r="E464" t="b">
        <v>0</v>
      </c>
      <c r="H464">
        <v>0</v>
      </c>
    </row>
    <row r="465" spans="1:8" x14ac:dyDescent="0.4">
      <c r="A465" t="s">
        <v>211</v>
      </c>
      <c r="B465" t="s">
        <v>596</v>
      </c>
      <c r="D465" t="s">
        <v>46</v>
      </c>
      <c r="E465" t="b">
        <v>0</v>
      </c>
      <c r="H465">
        <v>0</v>
      </c>
    </row>
    <row r="466" spans="1:8" x14ac:dyDescent="0.4">
      <c r="A466" t="s">
        <v>211</v>
      </c>
      <c r="B466" t="s">
        <v>597</v>
      </c>
      <c r="D466" t="s">
        <v>46</v>
      </c>
      <c r="E466" t="b">
        <v>0</v>
      </c>
      <c r="H466">
        <v>0</v>
      </c>
    </row>
    <row r="467" spans="1:8" x14ac:dyDescent="0.4">
      <c r="A467" t="s">
        <v>211</v>
      </c>
      <c r="B467" t="s">
        <v>598</v>
      </c>
      <c r="D467" t="s">
        <v>46</v>
      </c>
      <c r="E467" t="b">
        <v>0</v>
      </c>
      <c r="H467">
        <v>0</v>
      </c>
    </row>
    <row r="468" spans="1:8" x14ac:dyDescent="0.4">
      <c r="A468" t="s">
        <v>211</v>
      </c>
      <c r="B468" t="s">
        <v>599</v>
      </c>
      <c r="D468" t="s">
        <v>46</v>
      </c>
      <c r="E468" t="b">
        <v>0</v>
      </c>
      <c r="H468">
        <v>0</v>
      </c>
    </row>
    <row r="469" spans="1:8" x14ac:dyDescent="0.4">
      <c r="A469" t="s">
        <v>211</v>
      </c>
      <c r="B469" t="s">
        <v>600</v>
      </c>
      <c r="D469" t="s">
        <v>46</v>
      </c>
      <c r="E469" t="b">
        <v>0</v>
      </c>
      <c r="H469">
        <v>0</v>
      </c>
    </row>
    <row r="470" spans="1:8" x14ac:dyDescent="0.4">
      <c r="A470" t="s">
        <v>211</v>
      </c>
      <c r="B470" t="s">
        <v>601</v>
      </c>
      <c r="D470" t="s">
        <v>46</v>
      </c>
      <c r="E470" t="b">
        <v>0</v>
      </c>
      <c r="H470">
        <v>0</v>
      </c>
    </row>
    <row r="471" spans="1:8" x14ac:dyDescent="0.4">
      <c r="A471" t="s">
        <v>211</v>
      </c>
      <c r="B471" t="s">
        <v>602</v>
      </c>
      <c r="D471" t="s">
        <v>46</v>
      </c>
      <c r="E471" t="b">
        <v>0</v>
      </c>
      <c r="H471">
        <v>0</v>
      </c>
    </row>
    <row r="472" spans="1:8" x14ac:dyDescent="0.4">
      <c r="A472" t="s">
        <v>214</v>
      </c>
      <c r="B472" t="s">
        <v>603</v>
      </c>
      <c r="C472" t="s">
        <v>136</v>
      </c>
      <c r="D472" t="s">
        <v>49</v>
      </c>
      <c r="E472" t="b">
        <v>1</v>
      </c>
      <c r="H472">
        <v>0</v>
      </c>
    </row>
    <row r="473" spans="1:8" x14ac:dyDescent="0.4">
      <c r="A473" t="s">
        <v>214</v>
      </c>
      <c r="B473" t="s">
        <v>604</v>
      </c>
      <c r="C473" t="s">
        <v>136</v>
      </c>
      <c r="D473" t="s">
        <v>49</v>
      </c>
      <c r="E473" t="b">
        <v>1</v>
      </c>
      <c r="H473">
        <v>0</v>
      </c>
    </row>
    <row r="474" spans="1:8" x14ac:dyDescent="0.4">
      <c r="A474" t="s">
        <v>214</v>
      </c>
      <c r="B474" t="s">
        <v>605</v>
      </c>
      <c r="C474" t="s">
        <v>136</v>
      </c>
      <c r="D474" t="s">
        <v>49</v>
      </c>
      <c r="E474" t="b">
        <v>1</v>
      </c>
      <c r="H474">
        <v>0</v>
      </c>
    </row>
    <row r="475" spans="1:8" x14ac:dyDescent="0.4">
      <c r="A475" t="s">
        <v>214</v>
      </c>
      <c r="B475" t="s">
        <v>606</v>
      </c>
      <c r="D475" t="s">
        <v>49</v>
      </c>
      <c r="E475" t="b">
        <v>0</v>
      </c>
      <c r="H475">
        <v>0</v>
      </c>
    </row>
    <row r="476" spans="1:8" x14ac:dyDescent="0.4">
      <c r="A476" t="s">
        <v>216</v>
      </c>
      <c r="B476" t="s">
        <v>607</v>
      </c>
      <c r="C476" t="s">
        <v>136</v>
      </c>
      <c r="D476" t="s">
        <v>49</v>
      </c>
      <c r="E476" t="b">
        <v>1</v>
      </c>
      <c r="H476">
        <v>0</v>
      </c>
    </row>
    <row r="477" spans="1:8" x14ac:dyDescent="0.4">
      <c r="A477" t="s">
        <v>216</v>
      </c>
      <c r="B477" t="s">
        <v>608</v>
      </c>
      <c r="C477" t="s">
        <v>136</v>
      </c>
      <c r="D477" t="s">
        <v>49</v>
      </c>
      <c r="E477" t="b">
        <v>1</v>
      </c>
      <c r="H477">
        <v>0</v>
      </c>
    </row>
    <row r="478" spans="1:8" x14ac:dyDescent="0.4">
      <c r="A478" t="s">
        <v>216</v>
      </c>
      <c r="B478" t="s">
        <v>609</v>
      </c>
      <c r="C478" t="s">
        <v>136</v>
      </c>
      <c r="D478" t="s">
        <v>49</v>
      </c>
      <c r="E478" t="b">
        <v>1</v>
      </c>
      <c r="H478">
        <v>0</v>
      </c>
    </row>
    <row r="479" spans="1:8" x14ac:dyDescent="0.4">
      <c r="A479" t="s">
        <v>216</v>
      </c>
      <c r="B479" t="s">
        <v>610</v>
      </c>
      <c r="C479" t="s">
        <v>136</v>
      </c>
      <c r="D479" t="s">
        <v>49</v>
      </c>
      <c r="E479" t="b">
        <v>1</v>
      </c>
      <c r="H479">
        <v>0</v>
      </c>
    </row>
    <row r="480" spans="1:8" x14ac:dyDescent="0.4">
      <c r="A480" t="s">
        <v>216</v>
      </c>
      <c r="B480" t="s">
        <v>611</v>
      </c>
      <c r="C480" t="s">
        <v>136</v>
      </c>
      <c r="D480" t="s">
        <v>49</v>
      </c>
      <c r="E480" t="b">
        <v>1</v>
      </c>
      <c r="H480">
        <v>0</v>
      </c>
    </row>
    <row r="481" spans="1:8" x14ac:dyDescent="0.4">
      <c r="A481" t="s">
        <v>216</v>
      </c>
      <c r="B481" t="s">
        <v>612</v>
      </c>
      <c r="D481" t="s">
        <v>49</v>
      </c>
      <c r="E481" t="b">
        <v>0</v>
      </c>
      <c r="H481">
        <v>0</v>
      </c>
    </row>
    <row r="482" spans="1:8" x14ac:dyDescent="0.4">
      <c r="A482" t="s">
        <v>216</v>
      </c>
      <c r="B482" t="s">
        <v>613</v>
      </c>
      <c r="D482" t="s">
        <v>49</v>
      </c>
      <c r="E482" t="b">
        <v>0</v>
      </c>
      <c r="H482">
        <v>0</v>
      </c>
    </row>
    <row r="483" spans="1:8" x14ac:dyDescent="0.4">
      <c r="A483" t="s">
        <v>216</v>
      </c>
      <c r="B483" t="s">
        <v>614</v>
      </c>
      <c r="D483" t="s">
        <v>49</v>
      </c>
      <c r="E483" t="b">
        <v>0</v>
      </c>
      <c r="H483">
        <v>0</v>
      </c>
    </row>
    <row r="484" spans="1:8" x14ac:dyDescent="0.4">
      <c r="A484" t="s">
        <v>218</v>
      </c>
      <c r="B484" t="s">
        <v>615</v>
      </c>
      <c r="D484" t="s">
        <v>46</v>
      </c>
      <c r="E484" t="b">
        <v>0</v>
      </c>
      <c r="H484">
        <v>0</v>
      </c>
    </row>
    <row r="485" spans="1:8" x14ac:dyDescent="0.4">
      <c r="A485" t="s">
        <v>218</v>
      </c>
      <c r="B485" t="s">
        <v>616</v>
      </c>
      <c r="D485" t="s">
        <v>46</v>
      </c>
      <c r="E485" t="b">
        <v>0</v>
      </c>
      <c r="H485">
        <v>0</v>
      </c>
    </row>
    <row r="486" spans="1:8" x14ac:dyDescent="0.4">
      <c r="A486" t="s">
        <v>218</v>
      </c>
      <c r="B486" t="s">
        <v>617</v>
      </c>
      <c r="D486" t="s">
        <v>46</v>
      </c>
      <c r="E486" t="b">
        <v>0</v>
      </c>
      <c r="H486">
        <v>0</v>
      </c>
    </row>
    <row r="487" spans="1:8" x14ac:dyDescent="0.4">
      <c r="A487" t="s">
        <v>221</v>
      </c>
      <c r="B487" t="s">
        <v>618</v>
      </c>
      <c r="C487" t="s">
        <v>136</v>
      </c>
      <c r="D487" t="s">
        <v>46</v>
      </c>
      <c r="E487" t="b">
        <v>1</v>
      </c>
      <c r="H487">
        <v>0</v>
      </c>
    </row>
    <row r="488" spans="1:8" x14ac:dyDescent="0.4">
      <c r="A488" t="s">
        <v>221</v>
      </c>
      <c r="B488" t="s">
        <v>619</v>
      </c>
      <c r="C488" t="s">
        <v>136</v>
      </c>
      <c r="D488" t="s">
        <v>46</v>
      </c>
      <c r="E488" t="b">
        <v>1</v>
      </c>
      <c r="H488">
        <v>0</v>
      </c>
    </row>
    <row r="489" spans="1:8" x14ac:dyDescent="0.4">
      <c r="A489" t="s">
        <v>221</v>
      </c>
      <c r="B489" t="s">
        <v>620</v>
      </c>
      <c r="C489" t="s">
        <v>136</v>
      </c>
      <c r="D489" t="s">
        <v>46</v>
      </c>
      <c r="E489" t="b">
        <v>1</v>
      </c>
      <c r="H489">
        <v>0</v>
      </c>
    </row>
    <row r="490" spans="1:8" x14ac:dyDescent="0.4">
      <c r="A490" t="s">
        <v>221</v>
      </c>
      <c r="B490" t="s">
        <v>621</v>
      </c>
      <c r="C490" t="s">
        <v>136</v>
      </c>
      <c r="D490" t="s">
        <v>46</v>
      </c>
      <c r="E490" t="b">
        <v>1</v>
      </c>
      <c r="H490">
        <v>0</v>
      </c>
    </row>
    <row r="491" spans="1:8" x14ac:dyDescent="0.4">
      <c r="A491" t="s">
        <v>221</v>
      </c>
      <c r="B491" t="s">
        <v>622</v>
      </c>
      <c r="C491" t="s">
        <v>136</v>
      </c>
      <c r="D491" t="s">
        <v>46</v>
      </c>
      <c r="E491" t="b">
        <v>1</v>
      </c>
      <c r="H491">
        <v>0</v>
      </c>
    </row>
    <row r="492" spans="1:8" x14ac:dyDescent="0.4">
      <c r="A492" t="s">
        <v>221</v>
      </c>
      <c r="B492" t="s">
        <v>623</v>
      </c>
      <c r="C492" t="s">
        <v>136</v>
      </c>
      <c r="D492" t="s">
        <v>46</v>
      </c>
      <c r="E492" t="b">
        <v>1</v>
      </c>
      <c r="H492">
        <v>0</v>
      </c>
    </row>
    <row r="493" spans="1:8" x14ac:dyDescent="0.4">
      <c r="A493" t="s">
        <v>221</v>
      </c>
      <c r="B493" t="s">
        <v>624</v>
      </c>
      <c r="D493" t="s">
        <v>46</v>
      </c>
      <c r="E493" t="b">
        <v>0</v>
      </c>
      <c r="H493">
        <v>0</v>
      </c>
    </row>
    <row r="494" spans="1:8" x14ac:dyDescent="0.4">
      <c r="A494" t="s">
        <v>221</v>
      </c>
      <c r="B494" t="s">
        <v>625</v>
      </c>
      <c r="D494" t="s">
        <v>46</v>
      </c>
      <c r="E494" t="b">
        <v>0</v>
      </c>
      <c r="H494">
        <v>0</v>
      </c>
    </row>
    <row r="495" spans="1:8" x14ac:dyDescent="0.4">
      <c r="A495" t="s">
        <v>221</v>
      </c>
      <c r="B495" t="s">
        <v>626</v>
      </c>
      <c r="D495" t="s">
        <v>46</v>
      </c>
      <c r="E495" t="b">
        <v>0</v>
      </c>
      <c r="H495">
        <v>0</v>
      </c>
    </row>
    <row r="496" spans="1:8" x14ac:dyDescent="0.4">
      <c r="A496" t="s">
        <v>221</v>
      </c>
      <c r="B496" t="s">
        <v>627</v>
      </c>
      <c r="D496" t="s">
        <v>46</v>
      </c>
      <c r="E496" t="b">
        <v>0</v>
      </c>
      <c r="H496">
        <v>0</v>
      </c>
    </row>
    <row r="497" spans="1:8" x14ac:dyDescent="0.4">
      <c r="A497" t="s">
        <v>221</v>
      </c>
      <c r="B497" t="s">
        <v>628</v>
      </c>
      <c r="D497" t="s">
        <v>46</v>
      </c>
      <c r="E497" t="b">
        <v>0</v>
      </c>
      <c r="H497">
        <v>0</v>
      </c>
    </row>
    <row r="498" spans="1:8" x14ac:dyDescent="0.4">
      <c r="A498" t="s">
        <v>221</v>
      </c>
      <c r="B498" t="s">
        <v>629</v>
      </c>
      <c r="D498" t="s">
        <v>46</v>
      </c>
      <c r="E498" t="b">
        <v>0</v>
      </c>
      <c r="H498">
        <v>0</v>
      </c>
    </row>
    <row r="499" spans="1:8" x14ac:dyDescent="0.4">
      <c r="A499" t="s">
        <v>223</v>
      </c>
      <c r="B499" t="s">
        <v>630</v>
      </c>
      <c r="C499" t="s">
        <v>136</v>
      </c>
      <c r="D499" t="s">
        <v>53</v>
      </c>
      <c r="E499" t="b">
        <v>1</v>
      </c>
      <c r="H499">
        <v>0</v>
      </c>
    </row>
    <row r="500" spans="1:8" x14ac:dyDescent="0.4">
      <c r="A500" t="s">
        <v>223</v>
      </c>
      <c r="B500" t="s">
        <v>631</v>
      </c>
      <c r="C500" t="s">
        <v>136</v>
      </c>
      <c r="D500" t="s">
        <v>53</v>
      </c>
      <c r="E500" t="b">
        <v>1</v>
      </c>
      <c r="H500">
        <v>0</v>
      </c>
    </row>
    <row r="501" spans="1:8" x14ac:dyDescent="0.4">
      <c r="A501" t="s">
        <v>223</v>
      </c>
      <c r="B501" t="s">
        <v>632</v>
      </c>
      <c r="C501" t="s">
        <v>136</v>
      </c>
      <c r="D501" t="s">
        <v>53</v>
      </c>
      <c r="E501" t="b">
        <v>1</v>
      </c>
      <c r="H501">
        <v>0</v>
      </c>
    </row>
    <row r="502" spans="1:8" x14ac:dyDescent="0.4">
      <c r="A502" t="s">
        <v>223</v>
      </c>
      <c r="B502" t="s">
        <v>633</v>
      </c>
      <c r="C502" t="s">
        <v>136</v>
      </c>
      <c r="D502" t="s">
        <v>53</v>
      </c>
      <c r="E502" t="b">
        <v>1</v>
      </c>
      <c r="H502">
        <v>0</v>
      </c>
    </row>
    <row r="503" spans="1:8" x14ac:dyDescent="0.4">
      <c r="A503" t="s">
        <v>223</v>
      </c>
      <c r="B503" t="s">
        <v>634</v>
      </c>
      <c r="C503" t="s">
        <v>136</v>
      </c>
      <c r="D503" t="s">
        <v>53</v>
      </c>
      <c r="E503" t="b">
        <v>1</v>
      </c>
      <c r="H503">
        <v>0</v>
      </c>
    </row>
    <row r="504" spans="1:8" x14ac:dyDescent="0.4">
      <c r="A504" t="s">
        <v>223</v>
      </c>
      <c r="B504" t="s">
        <v>635</v>
      </c>
      <c r="D504" t="s">
        <v>53</v>
      </c>
      <c r="E504" t="b">
        <v>0</v>
      </c>
      <c r="H504">
        <v>0</v>
      </c>
    </row>
    <row r="505" spans="1:8" x14ac:dyDescent="0.4">
      <c r="A505" t="s">
        <v>223</v>
      </c>
      <c r="B505" t="s">
        <v>636</v>
      </c>
      <c r="D505" t="s">
        <v>53</v>
      </c>
      <c r="E505" t="b">
        <v>0</v>
      </c>
      <c r="H505">
        <v>0</v>
      </c>
    </row>
    <row r="506" spans="1:8" x14ac:dyDescent="0.4">
      <c r="A506" t="s">
        <v>223</v>
      </c>
      <c r="B506" t="s">
        <v>637</v>
      </c>
      <c r="D506" t="s">
        <v>53</v>
      </c>
      <c r="E506" t="b">
        <v>0</v>
      </c>
      <c r="H506">
        <v>0</v>
      </c>
    </row>
    <row r="507" spans="1:8" x14ac:dyDescent="0.4">
      <c r="A507" t="s">
        <v>223</v>
      </c>
      <c r="B507" t="s">
        <v>638</v>
      </c>
      <c r="D507" t="s">
        <v>53</v>
      </c>
      <c r="E507" t="b">
        <v>0</v>
      </c>
      <c r="H507">
        <v>0</v>
      </c>
    </row>
    <row r="508" spans="1:8" x14ac:dyDescent="0.4">
      <c r="A508" t="s">
        <v>223</v>
      </c>
      <c r="B508" t="s">
        <v>639</v>
      </c>
      <c r="D508" t="s">
        <v>53</v>
      </c>
      <c r="E508" t="b">
        <v>0</v>
      </c>
      <c r="H508">
        <v>0</v>
      </c>
    </row>
    <row r="509" spans="1:8" x14ac:dyDescent="0.4">
      <c r="A509" t="s">
        <v>223</v>
      </c>
      <c r="B509" t="s">
        <v>640</v>
      </c>
      <c r="D509" t="s">
        <v>53</v>
      </c>
      <c r="E509" t="b">
        <v>0</v>
      </c>
      <c r="H509">
        <v>0</v>
      </c>
    </row>
    <row r="510" spans="1:8" x14ac:dyDescent="0.4">
      <c r="A510" t="s">
        <v>223</v>
      </c>
      <c r="B510" t="s">
        <v>641</v>
      </c>
      <c r="D510" t="s">
        <v>53</v>
      </c>
      <c r="E510" t="b">
        <v>0</v>
      </c>
      <c r="H510">
        <v>0</v>
      </c>
    </row>
    <row r="511" spans="1:8" x14ac:dyDescent="0.4">
      <c r="A511" t="s">
        <v>223</v>
      </c>
      <c r="B511" t="s">
        <v>642</v>
      </c>
      <c r="D511" t="s">
        <v>53</v>
      </c>
      <c r="E511" t="b">
        <v>0</v>
      </c>
      <c r="H511">
        <v>0</v>
      </c>
    </row>
    <row r="512" spans="1:8" x14ac:dyDescent="0.4">
      <c r="A512" t="s">
        <v>223</v>
      </c>
      <c r="B512" t="s">
        <v>643</v>
      </c>
      <c r="D512" t="s">
        <v>53</v>
      </c>
      <c r="E512" t="b">
        <v>0</v>
      </c>
      <c r="H512">
        <v>0</v>
      </c>
    </row>
    <row r="513" spans="1:8" x14ac:dyDescent="0.4">
      <c r="A513" t="s">
        <v>223</v>
      </c>
      <c r="B513" t="s">
        <v>644</v>
      </c>
      <c r="D513" t="s">
        <v>53</v>
      </c>
      <c r="E513" t="b">
        <v>0</v>
      </c>
      <c r="H513">
        <v>0</v>
      </c>
    </row>
    <row r="514" spans="1:8" x14ac:dyDescent="0.4">
      <c r="A514" t="s">
        <v>223</v>
      </c>
      <c r="B514" t="s">
        <v>645</v>
      </c>
      <c r="D514" t="s">
        <v>53</v>
      </c>
      <c r="E514" t="b">
        <v>0</v>
      </c>
      <c r="H514">
        <v>0</v>
      </c>
    </row>
    <row r="515" spans="1:8" x14ac:dyDescent="0.4">
      <c r="A515" t="s">
        <v>223</v>
      </c>
      <c r="B515" t="s">
        <v>646</v>
      </c>
      <c r="D515" t="s">
        <v>53</v>
      </c>
      <c r="E515" t="b">
        <v>0</v>
      </c>
      <c r="H515">
        <v>0</v>
      </c>
    </row>
    <row r="516" spans="1:8" x14ac:dyDescent="0.4">
      <c r="A516" t="s">
        <v>223</v>
      </c>
      <c r="B516" t="s">
        <v>647</v>
      </c>
      <c r="D516" t="s">
        <v>53</v>
      </c>
      <c r="E516" t="b">
        <v>0</v>
      </c>
      <c r="H516">
        <v>0</v>
      </c>
    </row>
    <row r="517" spans="1:8" x14ac:dyDescent="0.4">
      <c r="A517" t="s">
        <v>223</v>
      </c>
      <c r="B517" t="s">
        <v>648</v>
      </c>
      <c r="D517" t="s">
        <v>53</v>
      </c>
      <c r="E517" t="b">
        <v>0</v>
      </c>
      <c r="H517">
        <v>0</v>
      </c>
    </row>
    <row r="518" spans="1:8" x14ac:dyDescent="0.4">
      <c r="A518" t="s">
        <v>225</v>
      </c>
      <c r="B518" t="s">
        <v>649</v>
      </c>
      <c r="C518" t="s">
        <v>136</v>
      </c>
      <c r="D518" t="s">
        <v>53</v>
      </c>
      <c r="E518" t="b">
        <v>1</v>
      </c>
      <c r="H518">
        <v>0</v>
      </c>
    </row>
    <row r="519" spans="1:8" x14ac:dyDescent="0.4">
      <c r="A519" t="s">
        <v>225</v>
      </c>
      <c r="B519" t="s">
        <v>650</v>
      </c>
      <c r="D519" t="s">
        <v>53</v>
      </c>
      <c r="E519" t="b">
        <v>0</v>
      </c>
      <c r="H519">
        <v>0</v>
      </c>
    </row>
    <row r="520" spans="1:8" x14ac:dyDescent="0.4">
      <c r="A520" t="s">
        <v>225</v>
      </c>
      <c r="B520" t="s">
        <v>651</v>
      </c>
      <c r="D520" t="s">
        <v>53</v>
      </c>
      <c r="E520" t="b">
        <v>0</v>
      </c>
      <c r="H520">
        <v>0</v>
      </c>
    </row>
    <row r="521" spans="1:8" x14ac:dyDescent="0.4">
      <c r="A521" t="s">
        <v>225</v>
      </c>
      <c r="B521" t="s">
        <v>652</v>
      </c>
      <c r="D521" t="s">
        <v>53</v>
      </c>
      <c r="E521" t="b">
        <v>0</v>
      </c>
      <c r="H521">
        <v>0</v>
      </c>
    </row>
    <row r="522" spans="1:8" x14ac:dyDescent="0.4">
      <c r="A522" t="s">
        <v>225</v>
      </c>
      <c r="B522" t="s">
        <v>653</v>
      </c>
      <c r="D522" t="s">
        <v>53</v>
      </c>
      <c r="E522" t="b">
        <v>0</v>
      </c>
      <c r="H522">
        <v>0</v>
      </c>
    </row>
    <row r="523" spans="1:8" x14ac:dyDescent="0.4">
      <c r="A523" t="s">
        <v>225</v>
      </c>
      <c r="B523" t="s">
        <v>654</v>
      </c>
      <c r="D523" t="s">
        <v>53</v>
      </c>
      <c r="E523" t="b">
        <v>0</v>
      </c>
      <c r="H523">
        <v>0</v>
      </c>
    </row>
    <row r="524" spans="1:8" x14ac:dyDescent="0.4">
      <c r="A524" t="s">
        <v>227</v>
      </c>
      <c r="B524" t="s">
        <v>655</v>
      </c>
      <c r="D524" t="s">
        <v>11</v>
      </c>
      <c r="E524" t="b">
        <v>0</v>
      </c>
      <c r="H524">
        <v>0</v>
      </c>
    </row>
    <row r="525" spans="1:8" x14ac:dyDescent="0.4">
      <c r="A525" t="s">
        <v>227</v>
      </c>
      <c r="B525" t="s">
        <v>656</v>
      </c>
      <c r="D525" t="s">
        <v>11</v>
      </c>
      <c r="E525" t="b">
        <v>0</v>
      </c>
      <c r="H525">
        <v>0</v>
      </c>
    </row>
    <row r="526" spans="1:8" x14ac:dyDescent="0.4">
      <c r="A526" t="s">
        <v>227</v>
      </c>
      <c r="B526" t="s">
        <v>657</v>
      </c>
      <c r="D526" t="s">
        <v>11</v>
      </c>
      <c r="E526" t="b">
        <v>0</v>
      </c>
      <c r="H526">
        <v>0</v>
      </c>
    </row>
    <row r="527" spans="1:8" x14ac:dyDescent="0.4">
      <c r="A527" t="s">
        <v>227</v>
      </c>
      <c r="B527" t="s">
        <v>658</v>
      </c>
      <c r="D527" t="s">
        <v>11</v>
      </c>
      <c r="E527" t="b">
        <v>0</v>
      </c>
      <c r="H527">
        <v>0</v>
      </c>
    </row>
    <row r="528" spans="1:8" x14ac:dyDescent="0.4">
      <c r="A528" t="s">
        <v>229</v>
      </c>
      <c r="B528" t="s">
        <v>659</v>
      </c>
      <c r="C528" t="s">
        <v>136</v>
      </c>
      <c r="D528" t="s">
        <v>11</v>
      </c>
      <c r="E528" t="b">
        <v>1</v>
      </c>
      <c r="H528">
        <v>0</v>
      </c>
    </row>
    <row r="529" spans="1:8" x14ac:dyDescent="0.4">
      <c r="A529" t="s">
        <v>229</v>
      </c>
      <c r="B529" t="s">
        <v>660</v>
      </c>
      <c r="C529" t="s">
        <v>136</v>
      </c>
      <c r="D529" t="s">
        <v>11</v>
      </c>
      <c r="E529" t="b">
        <v>1</v>
      </c>
      <c r="H529">
        <v>0</v>
      </c>
    </row>
    <row r="530" spans="1:8" x14ac:dyDescent="0.4">
      <c r="A530" t="s">
        <v>229</v>
      </c>
      <c r="B530" t="s">
        <v>661</v>
      </c>
      <c r="D530" t="s">
        <v>11</v>
      </c>
      <c r="E530" t="b">
        <v>0</v>
      </c>
      <c r="H530">
        <v>0</v>
      </c>
    </row>
    <row r="531" spans="1:8" x14ac:dyDescent="0.4">
      <c r="A531" t="s">
        <v>229</v>
      </c>
      <c r="B531" t="s">
        <v>662</v>
      </c>
      <c r="D531" t="s">
        <v>11</v>
      </c>
      <c r="E531" t="b">
        <v>0</v>
      </c>
      <c r="H531">
        <v>0</v>
      </c>
    </row>
    <row r="532" spans="1:8" x14ac:dyDescent="0.4">
      <c r="A532" t="s">
        <v>229</v>
      </c>
      <c r="B532" t="s">
        <v>663</v>
      </c>
      <c r="D532" t="s">
        <v>11</v>
      </c>
      <c r="E532" t="b">
        <v>0</v>
      </c>
      <c r="H532">
        <v>0</v>
      </c>
    </row>
    <row r="533" spans="1:8" x14ac:dyDescent="0.4">
      <c r="A533" t="s">
        <v>229</v>
      </c>
      <c r="B533" t="s">
        <v>664</v>
      </c>
      <c r="D533" t="s">
        <v>11</v>
      </c>
      <c r="E533" t="b">
        <v>0</v>
      </c>
      <c r="H533">
        <v>0</v>
      </c>
    </row>
    <row r="534" spans="1:8" x14ac:dyDescent="0.4">
      <c r="A534" t="s">
        <v>229</v>
      </c>
      <c r="B534" t="s">
        <v>665</v>
      </c>
      <c r="D534" t="s">
        <v>11</v>
      </c>
      <c r="E534" t="b">
        <v>0</v>
      </c>
      <c r="H534">
        <v>0</v>
      </c>
    </row>
    <row r="535" spans="1:8" x14ac:dyDescent="0.4">
      <c r="A535" t="s">
        <v>229</v>
      </c>
      <c r="B535" t="s">
        <v>666</v>
      </c>
      <c r="D535" t="s">
        <v>11</v>
      </c>
      <c r="E535" t="b">
        <v>0</v>
      </c>
      <c r="H535">
        <v>0</v>
      </c>
    </row>
    <row r="536" spans="1:8" x14ac:dyDescent="0.4">
      <c r="A536" t="s">
        <v>229</v>
      </c>
      <c r="B536" t="s">
        <v>667</v>
      </c>
      <c r="D536" t="s">
        <v>11</v>
      </c>
      <c r="E536" t="b">
        <v>0</v>
      </c>
      <c r="H536">
        <v>0</v>
      </c>
    </row>
    <row r="537" spans="1:8" x14ac:dyDescent="0.4">
      <c r="A537" t="s">
        <v>229</v>
      </c>
      <c r="B537" t="s">
        <v>668</v>
      </c>
      <c r="D537" t="s">
        <v>11</v>
      </c>
      <c r="E537" t="b">
        <v>0</v>
      </c>
      <c r="H537">
        <v>0</v>
      </c>
    </row>
    <row r="538" spans="1:8" x14ac:dyDescent="0.4">
      <c r="A538" t="s">
        <v>229</v>
      </c>
      <c r="B538" t="s">
        <v>669</v>
      </c>
      <c r="D538" t="s">
        <v>11</v>
      </c>
      <c r="E538" t="b">
        <v>0</v>
      </c>
      <c r="H538">
        <v>0</v>
      </c>
    </row>
    <row r="539" spans="1:8" x14ac:dyDescent="0.4">
      <c r="A539" t="s">
        <v>229</v>
      </c>
      <c r="B539" t="s">
        <v>670</v>
      </c>
      <c r="D539" t="s">
        <v>11</v>
      </c>
      <c r="E539" t="b">
        <v>0</v>
      </c>
      <c r="H539">
        <v>0</v>
      </c>
    </row>
    <row r="540" spans="1:8" x14ac:dyDescent="0.4">
      <c r="A540" t="s">
        <v>231</v>
      </c>
      <c r="B540" t="s">
        <v>671</v>
      </c>
      <c r="D540" t="s">
        <v>55</v>
      </c>
      <c r="E540" t="b">
        <v>0</v>
      </c>
      <c r="H540">
        <v>0</v>
      </c>
    </row>
    <row r="541" spans="1:8" x14ac:dyDescent="0.4">
      <c r="A541" t="s">
        <v>231</v>
      </c>
      <c r="B541" t="s">
        <v>672</v>
      </c>
      <c r="D541" t="s">
        <v>55</v>
      </c>
      <c r="E541" t="b">
        <v>0</v>
      </c>
      <c r="H541">
        <v>0</v>
      </c>
    </row>
    <row r="542" spans="1:8" x14ac:dyDescent="0.4">
      <c r="A542" t="s">
        <v>233</v>
      </c>
      <c r="B542" t="s">
        <v>673</v>
      </c>
      <c r="D542" t="s">
        <v>55</v>
      </c>
      <c r="E542" t="b">
        <v>0</v>
      </c>
      <c r="H542">
        <v>0</v>
      </c>
    </row>
    <row r="543" spans="1:8" x14ac:dyDescent="0.4">
      <c r="A543" t="s">
        <v>233</v>
      </c>
      <c r="B543" t="s">
        <v>674</v>
      </c>
      <c r="D543" t="s">
        <v>293</v>
      </c>
      <c r="E543" t="b">
        <v>0</v>
      </c>
      <c r="H543">
        <v>0</v>
      </c>
    </row>
    <row r="544" spans="1:8" x14ac:dyDescent="0.4">
      <c r="A544" t="s">
        <v>233</v>
      </c>
      <c r="B544" t="s">
        <v>675</v>
      </c>
      <c r="D544" t="s">
        <v>293</v>
      </c>
      <c r="E544" t="b">
        <v>0</v>
      </c>
      <c r="H544">
        <v>0</v>
      </c>
    </row>
    <row r="545" spans="1:8" x14ac:dyDescent="0.4">
      <c r="A545" t="s">
        <v>233</v>
      </c>
      <c r="B545" t="s">
        <v>676</v>
      </c>
      <c r="D545" t="s">
        <v>293</v>
      </c>
      <c r="E545" t="b">
        <v>0</v>
      </c>
      <c r="H545">
        <v>0</v>
      </c>
    </row>
    <row r="546" spans="1:8" x14ac:dyDescent="0.4">
      <c r="A546" t="s">
        <v>235</v>
      </c>
      <c r="B546" t="s">
        <v>677</v>
      </c>
      <c r="D546" t="s">
        <v>293</v>
      </c>
      <c r="E546" t="b">
        <v>0</v>
      </c>
      <c r="H546">
        <v>0</v>
      </c>
    </row>
    <row r="547" spans="1:8" x14ac:dyDescent="0.4">
      <c r="A547" t="s">
        <v>235</v>
      </c>
      <c r="B547" t="s">
        <v>678</v>
      </c>
      <c r="D547" t="s">
        <v>293</v>
      </c>
      <c r="E547" t="b">
        <v>0</v>
      </c>
      <c r="H547">
        <v>0</v>
      </c>
    </row>
    <row r="548" spans="1:8" x14ac:dyDescent="0.4">
      <c r="A548" t="s">
        <v>235</v>
      </c>
      <c r="B548" t="s">
        <v>679</v>
      </c>
      <c r="D548" t="s">
        <v>293</v>
      </c>
      <c r="E548" t="b">
        <v>0</v>
      </c>
      <c r="H548">
        <v>0</v>
      </c>
    </row>
    <row r="549" spans="1:8" x14ac:dyDescent="0.4">
      <c r="A549" t="s">
        <v>235</v>
      </c>
      <c r="B549" t="s">
        <v>680</v>
      </c>
      <c r="D549" t="s">
        <v>293</v>
      </c>
      <c r="E549" t="b">
        <v>0</v>
      </c>
      <c r="H549">
        <v>0</v>
      </c>
    </row>
    <row r="550" spans="1:8" x14ac:dyDescent="0.4">
      <c r="A550" t="s">
        <v>235</v>
      </c>
      <c r="B550" t="s">
        <v>681</v>
      </c>
      <c r="D550" t="s">
        <v>293</v>
      </c>
      <c r="E550" t="b">
        <v>0</v>
      </c>
      <c r="H550">
        <v>0</v>
      </c>
    </row>
    <row r="551" spans="1:8" x14ac:dyDescent="0.4">
      <c r="A551" t="s">
        <v>235</v>
      </c>
      <c r="B551" t="s">
        <v>682</v>
      </c>
      <c r="D551" t="s">
        <v>55</v>
      </c>
      <c r="E551" t="b">
        <v>0</v>
      </c>
      <c r="H551">
        <v>0</v>
      </c>
    </row>
    <row r="552" spans="1:8" x14ac:dyDescent="0.4">
      <c r="A552" t="s">
        <v>235</v>
      </c>
      <c r="B552" t="s">
        <v>683</v>
      </c>
      <c r="D552" t="s">
        <v>293</v>
      </c>
      <c r="E552" t="b">
        <v>0</v>
      </c>
      <c r="H552">
        <v>0</v>
      </c>
    </row>
    <row r="553" spans="1:8" x14ac:dyDescent="0.4">
      <c r="A553" t="s">
        <v>235</v>
      </c>
      <c r="B553" t="s">
        <v>684</v>
      </c>
      <c r="D553" t="s">
        <v>55</v>
      </c>
      <c r="E553" t="b">
        <v>0</v>
      </c>
      <c r="H553">
        <v>0</v>
      </c>
    </row>
    <row r="554" spans="1:8" x14ac:dyDescent="0.4">
      <c r="A554" t="s">
        <v>237</v>
      </c>
      <c r="B554" t="s">
        <v>685</v>
      </c>
      <c r="D554" t="s">
        <v>290</v>
      </c>
      <c r="E554" t="b">
        <v>0</v>
      </c>
      <c r="H554">
        <v>0</v>
      </c>
    </row>
    <row r="555" spans="1:8" x14ac:dyDescent="0.4">
      <c r="A555" t="s">
        <v>237</v>
      </c>
      <c r="B555" t="s">
        <v>686</v>
      </c>
      <c r="D555" t="s">
        <v>55</v>
      </c>
      <c r="E555" t="b">
        <v>0</v>
      </c>
      <c r="H555">
        <v>0</v>
      </c>
    </row>
    <row r="556" spans="1:8" x14ac:dyDescent="0.4">
      <c r="A556" t="s">
        <v>237</v>
      </c>
      <c r="B556" t="s">
        <v>687</v>
      </c>
      <c r="D556" t="s">
        <v>293</v>
      </c>
      <c r="E556" t="b">
        <v>0</v>
      </c>
      <c r="H556">
        <v>0</v>
      </c>
    </row>
    <row r="557" spans="1:8" x14ac:dyDescent="0.4">
      <c r="A557" t="s">
        <v>237</v>
      </c>
      <c r="B557" t="s">
        <v>688</v>
      </c>
      <c r="D557" t="s">
        <v>293</v>
      </c>
      <c r="E557" t="b">
        <v>0</v>
      </c>
      <c r="H557">
        <v>0</v>
      </c>
    </row>
    <row r="558" spans="1:8" x14ac:dyDescent="0.4">
      <c r="A558" t="s">
        <v>237</v>
      </c>
      <c r="B558" t="s">
        <v>689</v>
      </c>
      <c r="D558" t="s">
        <v>293</v>
      </c>
      <c r="E558" t="b">
        <v>0</v>
      </c>
      <c r="H558">
        <v>0</v>
      </c>
    </row>
    <row r="559" spans="1:8" x14ac:dyDescent="0.4">
      <c r="A559" t="s">
        <v>237</v>
      </c>
      <c r="B559" t="s">
        <v>690</v>
      </c>
      <c r="D559" t="s">
        <v>55</v>
      </c>
      <c r="E559" t="b">
        <v>0</v>
      </c>
      <c r="H559">
        <v>0</v>
      </c>
    </row>
    <row r="560" spans="1:8" x14ac:dyDescent="0.4">
      <c r="A560" t="s">
        <v>239</v>
      </c>
      <c r="B560" t="s">
        <v>691</v>
      </c>
      <c r="D560" t="s">
        <v>11</v>
      </c>
      <c r="E560" t="b">
        <v>0</v>
      </c>
      <c r="H560">
        <v>0</v>
      </c>
    </row>
    <row r="561" spans="1:8" x14ac:dyDescent="0.4">
      <c r="A561" t="s">
        <v>239</v>
      </c>
      <c r="B561" t="s">
        <v>692</v>
      </c>
      <c r="D561" t="s">
        <v>11</v>
      </c>
      <c r="E561" t="b">
        <v>0</v>
      </c>
      <c r="H561">
        <v>0</v>
      </c>
    </row>
    <row r="562" spans="1:8" x14ac:dyDescent="0.4">
      <c r="A562" t="s">
        <v>239</v>
      </c>
      <c r="B562" t="s">
        <v>693</v>
      </c>
      <c r="D562" t="s">
        <v>11</v>
      </c>
      <c r="E562" t="b">
        <v>0</v>
      </c>
      <c r="H562">
        <v>0</v>
      </c>
    </row>
    <row r="563" spans="1:8" x14ac:dyDescent="0.4">
      <c r="A563" t="s">
        <v>239</v>
      </c>
      <c r="B563" t="s">
        <v>694</v>
      </c>
      <c r="D563" t="s">
        <v>11</v>
      </c>
      <c r="E563" t="b">
        <v>0</v>
      </c>
      <c r="H563">
        <v>0</v>
      </c>
    </row>
    <row r="564" spans="1:8" x14ac:dyDescent="0.4">
      <c r="A564" t="s">
        <v>239</v>
      </c>
      <c r="B564" t="s">
        <v>695</v>
      </c>
      <c r="D564" t="s">
        <v>11</v>
      </c>
      <c r="E564" t="b">
        <v>0</v>
      </c>
      <c r="H564">
        <v>0</v>
      </c>
    </row>
    <row r="565" spans="1:8" x14ac:dyDescent="0.4">
      <c r="A565" t="s">
        <v>239</v>
      </c>
      <c r="B565" t="s">
        <v>696</v>
      </c>
      <c r="D565" t="s">
        <v>11</v>
      </c>
      <c r="E565" t="b">
        <v>0</v>
      </c>
      <c r="H565">
        <v>0</v>
      </c>
    </row>
    <row r="566" spans="1:8" x14ac:dyDescent="0.4">
      <c r="A566" t="s">
        <v>239</v>
      </c>
      <c r="B566" t="s">
        <v>697</v>
      </c>
      <c r="D566" t="s">
        <v>11</v>
      </c>
      <c r="E566" t="b">
        <v>0</v>
      </c>
      <c r="H566">
        <v>0</v>
      </c>
    </row>
    <row r="567" spans="1:8" x14ac:dyDescent="0.4">
      <c r="A567" t="s">
        <v>241</v>
      </c>
      <c r="B567" t="s">
        <v>698</v>
      </c>
      <c r="D567" t="s">
        <v>293</v>
      </c>
      <c r="E567" t="b">
        <v>0</v>
      </c>
      <c r="H567">
        <v>0</v>
      </c>
    </row>
    <row r="568" spans="1:8" x14ac:dyDescent="0.4">
      <c r="A568" t="s">
        <v>241</v>
      </c>
      <c r="B568" t="s">
        <v>699</v>
      </c>
      <c r="D568" t="s">
        <v>55</v>
      </c>
      <c r="E568" t="b">
        <v>0</v>
      </c>
      <c r="H568">
        <v>0</v>
      </c>
    </row>
    <row r="569" spans="1:8" x14ac:dyDescent="0.4">
      <c r="A569" t="s">
        <v>241</v>
      </c>
      <c r="B569" t="s">
        <v>700</v>
      </c>
      <c r="D569" t="s">
        <v>55</v>
      </c>
      <c r="E569" t="b">
        <v>0</v>
      </c>
      <c r="H569">
        <v>0</v>
      </c>
    </row>
    <row r="570" spans="1:8" x14ac:dyDescent="0.4">
      <c r="A570" t="s">
        <v>241</v>
      </c>
      <c r="B570" t="s">
        <v>701</v>
      </c>
      <c r="D570" t="s">
        <v>11</v>
      </c>
      <c r="E570" t="b">
        <v>0</v>
      </c>
      <c r="H570">
        <v>0</v>
      </c>
    </row>
    <row r="571" spans="1:8" x14ac:dyDescent="0.4">
      <c r="A571" t="s">
        <v>243</v>
      </c>
      <c r="B571" t="s">
        <v>702</v>
      </c>
      <c r="D571" t="s">
        <v>293</v>
      </c>
      <c r="E571" t="b">
        <v>0</v>
      </c>
      <c r="H571">
        <v>0</v>
      </c>
    </row>
    <row r="572" spans="1:8" x14ac:dyDescent="0.4">
      <c r="A572" t="s">
        <v>243</v>
      </c>
      <c r="B572" t="s">
        <v>703</v>
      </c>
      <c r="D572" t="s">
        <v>55</v>
      </c>
      <c r="E572" t="b">
        <v>0</v>
      </c>
      <c r="H572">
        <v>0</v>
      </c>
    </row>
    <row r="573" spans="1:8" x14ac:dyDescent="0.4">
      <c r="A573" t="s">
        <v>243</v>
      </c>
      <c r="B573" t="s">
        <v>704</v>
      </c>
      <c r="D573" t="s">
        <v>55</v>
      </c>
      <c r="E573" t="b">
        <v>0</v>
      </c>
      <c r="H573">
        <v>0</v>
      </c>
    </row>
    <row r="574" spans="1:8" x14ac:dyDescent="0.4">
      <c r="A574" t="s">
        <v>243</v>
      </c>
      <c r="B574" t="s">
        <v>705</v>
      </c>
      <c r="D574" t="s">
        <v>11</v>
      </c>
      <c r="E574" t="b">
        <v>0</v>
      </c>
      <c r="H574">
        <v>0</v>
      </c>
    </row>
    <row r="575" spans="1:8" x14ac:dyDescent="0.4">
      <c r="A575" t="s">
        <v>245</v>
      </c>
      <c r="B575" t="s">
        <v>706</v>
      </c>
      <c r="D575" t="s">
        <v>293</v>
      </c>
      <c r="E575" t="b">
        <v>0</v>
      </c>
      <c r="H575">
        <v>0</v>
      </c>
    </row>
    <row r="576" spans="1:8" x14ac:dyDescent="0.4">
      <c r="A576" t="s">
        <v>245</v>
      </c>
      <c r="B576" t="s">
        <v>707</v>
      </c>
      <c r="D576" t="s">
        <v>293</v>
      </c>
      <c r="E576" t="b">
        <v>0</v>
      </c>
      <c r="H576">
        <v>0</v>
      </c>
    </row>
    <row r="577" spans="1:8" x14ac:dyDescent="0.4">
      <c r="A577" t="s">
        <v>245</v>
      </c>
      <c r="B577" t="s">
        <v>708</v>
      </c>
      <c r="D577" t="s">
        <v>293</v>
      </c>
      <c r="E577" t="b">
        <v>0</v>
      </c>
      <c r="H577">
        <v>0</v>
      </c>
    </row>
    <row r="578" spans="1:8" x14ac:dyDescent="0.4">
      <c r="A578" t="s">
        <v>245</v>
      </c>
      <c r="B578" t="s">
        <v>709</v>
      </c>
      <c r="D578" t="s">
        <v>293</v>
      </c>
      <c r="E578" t="b">
        <v>0</v>
      </c>
      <c r="H578">
        <v>0</v>
      </c>
    </row>
    <row r="579" spans="1:8" x14ac:dyDescent="0.4">
      <c r="A579" t="s">
        <v>245</v>
      </c>
      <c r="B579" t="s">
        <v>710</v>
      </c>
      <c r="D579" t="s">
        <v>293</v>
      </c>
      <c r="E579" t="b">
        <v>0</v>
      </c>
      <c r="H579">
        <v>0</v>
      </c>
    </row>
    <row r="580" spans="1:8" x14ac:dyDescent="0.4">
      <c r="A580" t="s">
        <v>247</v>
      </c>
      <c r="B580" t="s">
        <v>278</v>
      </c>
      <c r="D580" t="s">
        <v>293</v>
      </c>
      <c r="E580" t="b">
        <v>0</v>
      </c>
      <c r="H580">
        <v>0</v>
      </c>
    </row>
    <row r="581" spans="1:8" x14ac:dyDescent="0.4">
      <c r="A581" t="s">
        <v>247</v>
      </c>
      <c r="B581" t="s">
        <v>279</v>
      </c>
      <c r="D581" t="s">
        <v>293</v>
      </c>
      <c r="E581" t="b">
        <v>0</v>
      </c>
      <c r="H581">
        <v>0</v>
      </c>
    </row>
    <row r="582" spans="1:8" x14ac:dyDescent="0.4">
      <c r="A582" t="s">
        <v>247</v>
      </c>
      <c r="B582" t="s">
        <v>281</v>
      </c>
      <c r="D582" t="s">
        <v>293</v>
      </c>
      <c r="E582" t="b">
        <v>0</v>
      </c>
      <c r="H582">
        <v>0</v>
      </c>
    </row>
    <row r="583" spans="1:8" x14ac:dyDescent="0.4">
      <c r="A583" t="s">
        <v>247</v>
      </c>
      <c r="B583" t="s">
        <v>283</v>
      </c>
      <c r="D583" t="s">
        <v>293</v>
      </c>
      <c r="E583" t="b">
        <v>0</v>
      </c>
      <c r="H583">
        <v>0</v>
      </c>
    </row>
    <row r="584" spans="1:8" x14ac:dyDescent="0.4">
      <c r="A584" t="s">
        <v>247</v>
      </c>
      <c r="B584" t="s">
        <v>282</v>
      </c>
      <c r="D584" t="s">
        <v>293</v>
      </c>
      <c r="E584" t="b">
        <v>0</v>
      </c>
      <c r="H584">
        <v>0</v>
      </c>
    </row>
    <row r="585" spans="1:8" x14ac:dyDescent="0.4">
      <c r="A585" t="s">
        <v>247</v>
      </c>
      <c r="B585" t="s">
        <v>284</v>
      </c>
      <c r="D585" t="s">
        <v>293</v>
      </c>
      <c r="E585" t="b">
        <v>0</v>
      </c>
      <c r="H585">
        <v>0</v>
      </c>
    </row>
    <row r="586" spans="1:8" x14ac:dyDescent="0.4">
      <c r="A586" t="s">
        <v>247</v>
      </c>
      <c r="B586" t="s">
        <v>285</v>
      </c>
      <c r="D586" t="s">
        <v>293</v>
      </c>
      <c r="E586" t="b">
        <v>0</v>
      </c>
      <c r="H586">
        <v>0</v>
      </c>
    </row>
    <row r="587" spans="1:8" x14ac:dyDescent="0.4">
      <c r="A587" t="s">
        <v>247</v>
      </c>
      <c r="B587" t="s">
        <v>711</v>
      </c>
      <c r="D587" t="s">
        <v>293</v>
      </c>
      <c r="E587" t="b">
        <v>0</v>
      </c>
      <c r="H587">
        <v>0</v>
      </c>
    </row>
    <row r="588" spans="1:8" x14ac:dyDescent="0.4">
      <c r="A588" t="s">
        <v>247</v>
      </c>
      <c r="B588" t="s">
        <v>712</v>
      </c>
      <c r="D588" t="s">
        <v>293</v>
      </c>
      <c r="E588" t="b">
        <v>0</v>
      </c>
      <c r="H588">
        <v>0</v>
      </c>
    </row>
    <row r="589" spans="1:8" x14ac:dyDescent="0.4">
      <c r="A589" t="s">
        <v>247</v>
      </c>
      <c r="B589" t="s">
        <v>713</v>
      </c>
      <c r="D589" t="s">
        <v>55</v>
      </c>
      <c r="E589" t="b">
        <v>0</v>
      </c>
      <c r="H589">
        <v>0</v>
      </c>
    </row>
    <row r="590" spans="1:8" x14ac:dyDescent="0.4">
      <c r="A590" t="s">
        <v>247</v>
      </c>
      <c r="B590" t="s">
        <v>714</v>
      </c>
      <c r="D590" t="s">
        <v>55</v>
      </c>
      <c r="E590" t="b">
        <v>0</v>
      </c>
      <c r="H590">
        <v>0</v>
      </c>
    </row>
    <row r="591" spans="1:8" x14ac:dyDescent="0.4">
      <c r="A591" t="s">
        <v>247</v>
      </c>
      <c r="B591" t="s">
        <v>715</v>
      </c>
      <c r="D591" t="s">
        <v>55</v>
      </c>
      <c r="E591" t="b">
        <v>0</v>
      </c>
      <c r="H591">
        <v>0</v>
      </c>
    </row>
    <row r="592" spans="1:8" x14ac:dyDescent="0.4">
      <c r="A592" t="s">
        <v>249</v>
      </c>
      <c r="B592" t="s">
        <v>278</v>
      </c>
      <c r="D592" t="s">
        <v>293</v>
      </c>
      <c r="E592" t="b">
        <v>0</v>
      </c>
      <c r="H592">
        <v>0</v>
      </c>
    </row>
    <row r="593" spans="1:8" x14ac:dyDescent="0.4">
      <c r="A593" t="s">
        <v>249</v>
      </c>
      <c r="B593" t="s">
        <v>279</v>
      </c>
      <c r="D593" t="s">
        <v>293</v>
      </c>
      <c r="E593" t="b">
        <v>0</v>
      </c>
      <c r="H593">
        <v>0</v>
      </c>
    </row>
    <row r="594" spans="1:8" x14ac:dyDescent="0.4">
      <c r="A594" t="s">
        <v>249</v>
      </c>
      <c r="B594" t="s">
        <v>281</v>
      </c>
      <c r="D594" t="s">
        <v>293</v>
      </c>
      <c r="E594" t="b">
        <v>0</v>
      </c>
      <c r="H594">
        <v>0</v>
      </c>
    </row>
    <row r="595" spans="1:8" x14ac:dyDescent="0.4">
      <c r="A595" t="s">
        <v>249</v>
      </c>
      <c r="B595" t="s">
        <v>283</v>
      </c>
      <c r="D595" t="s">
        <v>293</v>
      </c>
      <c r="E595" t="b">
        <v>0</v>
      </c>
      <c r="H595">
        <v>0</v>
      </c>
    </row>
    <row r="596" spans="1:8" x14ac:dyDescent="0.4">
      <c r="A596" t="s">
        <v>249</v>
      </c>
      <c r="B596" t="s">
        <v>282</v>
      </c>
      <c r="D596" t="s">
        <v>293</v>
      </c>
      <c r="E596" t="b">
        <v>0</v>
      </c>
      <c r="H596">
        <v>0</v>
      </c>
    </row>
    <row r="597" spans="1:8" x14ac:dyDescent="0.4">
      <c r="A597" t="s">
        <v>249</v>
      </c>
      <c r="B597" t="s">
        <v>284</v>
      </c>
      <c r="D597" t="s">
        <v>293</v>
      </c>
      <c r="E597" t="b">
        <v>0</v>
      </c>
      <c r="H597">
        <v>0</v>
      </c>
    </row>
    <row r="598" spans="1:8" x14ac:dyDescent="0.4">
      <c r="A598" t="s">
        <v>249</v>
      </c>
      <c r="B598" t="s">
        <v>285</v>
      </c>
      <c r="D598" t="s">
        <v>293</v>
      </c>
      <c r="E598" t="b">
        <v>0</v>
      </c>
      <c r="H598">
        <v>0</v>
      </c>
    </row>
    <row r="599" spans="1:8" x14ac:dyDescent="0.4">
      <c r="A599" t="s">
        <v>249</v>
      </c>
      <c r="B599" t="s">
        <v>711</v>
      </c>
      <c r="D599" t="s">
        <v>293</v>
      </c>
      <c r="E599" t="b">
        <v>0</v>
      </c>
      <c r="H599">
        <v>0</v>
      </c>
    </row>
    <row r="600" spans="1:8" x14ac:dyDescent="0.4">
      <c r="A600" t="s">
        <v>249</v>
      </c>
      <c r="B600" t="s">
        <v>715</v>
      </c>
      <c r="D600" t="s">
        <v>55</v>
      </c>
      <c r="E600" t="b">
        <v>0</v>
      </c>
      <c r="H600">
        <v>0</v>
      </c>
    </row>
    <row r="601" spans="1:8" x14ac:dyDescent="0.4">
      <c r="A601" t="s">
        <v>251</v>
      </c>
      <c r="B601" t="s">
        <v>716</v>
      </c>
      <c r="C601" t="s">
        <v>136</v>
      </c>
      <c r="D601" t="s">
        <v>55</v>
      </c>
      <c r="E601" t="b">
        <v>1</v>
      </c>
      <c r="H601">
        <v>0</v>
      </c>
    </row>
    <row r="602" spans="1:8" x14ac:dyDescent="0.4">
      <c r="A602" t="s">
        <v>251</v>
      </c>
      <c r="B602" t="s">
        <v>717</v>
      </c>
      <c r="C602" t="s">
        <v>136</v>
      </c>
      <c r="D602" t="s">
        <v>55</v>
      </c>
      <c r="E602" t="b">
        <v>1</v>
      </c>
      <c r="H602">
        <v>0</v>
      </c>
    </row>
    <row r="603" spans="1:8" x14ac:dyDescent="0.4">
      <c r="A603" t="s">
        <v>251</v>
      </c>
      <c r="B603" t="s">
        <v>718</v>
      </c>
      <c r="C603" t="s">
        <v>136</v>
      </c>
      <c r="D603" t="s">
        <v>55</v>
      </c>
      <c r="E603" t="b">
        <v>1</v>
      </c>
      <c r="H603">
        <v>0</v>
      </c>
    </row>
    <row r="604" spans="1:8" x14ac:dyDescent="0.4">
      <c r="A604" t="s">
        <v>251</v>
      </c>
      <c r="B604" t="s">
        <v>719</v>
      </c>
      <c r="C604" t="s">
        <v>136</v>
      </c>
      <c r="D604" t="s">
        <v>55</v>
      </c>
      <c r="E604" t="b">
        <v>1</v>
      </c>
      <c r="H604">
        <v>0</v>
      </c>
    </row>
    <row r="605" spans="1:8" x14ac:dyDescent="0.4">
      <c r="A605" t="s">
        <v>251</v>
      </c>
      <c r="B605" t="s">
        <v>720</v>
      </c>
      <c r="C605" t="s">
        <v>136</v>
      </c>
      <c r="D605" t="s">
        <v>55</v>
      </c>
      <c r="E605" t="b">
        <v>1</v>
      </c>
      <c r="H605">
        <v>0</v>
      </c>
    </row>
    <row r="606" spans="1:8" x14ac:dyDescent="0.4">
      <c r="A606" t="s">
        <v>251</v>
      </c>
      <c r="B606" t="s">
        <v>721</v>
      </c>
      <c r="C606" t="s">
        <v>136</v>
      </c>
      <c r="D606" t="s">
        <v>55</v>
      </c>
      <c r="E606" t="b">
        <v>1</v>
      </c>
      <c r="H606">
        <v>0</v>
      </c>
    </row>
    <row r="607" spans="1:8" x14ac:dyDescent="0.4">
      <c r="A607" t="s">
        <v>251</v>
      </c>
      <c r="B607" t="s">
        <v>722</v>
      </c>
      <c r="C607" t="s">
        <v>136</v>
      </c>
      <c r="D607" t="s">
        <v>55</v>
      </c>
      <c r="E607" t="b">
        <v>1</v>
      </c>
      <c r="H607">
        <v>0</v>
      </c>
    </row>
    <row r="608" spans="1:8" x14ac:dyDescent="0.4">
      <c r="A608" t="s">
        <v>251</v>
      </c>
      <c r="B608" t="s">
        <v>723</v>
      </c>
      <c r="D608" t="s">
        <v>55</v>
      </c>
      <c r="E608" t="b">
        <v>0</v>
      </c>
      <c r="H608">
        <v>0</v>
      </c>
    </row>
    <row r="609" spans="1:8" x14ac:dyDescent="0.4">
      <c r="A609" t="s">
        <v>251</v>
      </c>
      <c r="B609" t="s">
        <v>724</v>
      </c>
      <c r="D609" t="s">
        <v>55</v>
      </c>
      <c r="E609" t="b">
        <v>0</v>
      </c>
      <c r="H609">
        <v>0</v>
      </c>
    </row>
    <row r="610" spans="1:8" x14ac:dyDescent="0.4">
      <c r="A610" t="s">
        <v>251</v>
      </c>
      <c r="B610" t="s">
        <v>725</v>
      </c>
      <c r="D610" t="s">
        <v>55</v>
      </c>
      <c r="E610" t="b">
        <v>0</v>
      </c>
      <c r="H610">
        <v>0</v>
      </c>
    </row>
    <row r="611" spans="1:8" x14ac:dyDescent="0.4">
      <c r="A611" t="s">
        <v>251</v>
      </c>
      <c r="B611" t="s">
        <v>726</v>
      </c>
      <c r="D611" t="s">
        <v>55</v>
      </c>
      <c r="E611" t="b">
        <v>0</v>
      </c>
      <c r="H611">
        <v>0</v>
      </c>
    </row>
    <row r="612" spans="1:8" x14ac:dyDescent="0.4">
      <c r="A612" t="s">
        <v>251</v>
      </c>
      <c r="B612" t="s">
        <v>727</v>
      </c>
      <c r="D612" t="s">
        <v>55</v>
      </c>
      <c r="E612" t="b">
        <v>0</v>
      </c>
      <c r="H612">
        <v>0</v>
      </c>
    </row>
    <row r="613" spans="1:8" x14ac:dyDescent="0.4">
      <c r="A613" t="s">
        <v>251</v>
      </c>
      <c r="B613" t="s">
        <v>728</v>
      </c>
      <c r="D613" t="s">
        <v>55</v>
      </c>
      <c r="E613" t="b">
        <v>0</v>
      </c>
      <c r="H613">
        <v>0</v>
      </c>
    </row>
    <row r="614" spans="1:8" x14ac:dyDescent="0.4">
      <c r="A614" t="s">
        <v>253</v>
      </c>
      <c r="B614" t="s">
        <v>729</v>
      </c>
      <c r="C614" t="s">
        <v>136</v>
      </c>
      <c r="D614" t="s">
        <v>55</v>
      </c>
      <c r="E614" t="b">
        <v>1</v>
      </c>
      <c r="H614">
        <v>0</v>
      </c>
    </row>
    <row r="615" spans="1:8" x14ac:dyDescent="0.4">
      <c r="A615" t="s">
        <v>253</v>
      </c>
      <c r="B615" t="s">
        <v>730</v>
      </c>
      <c r="C615" t="s">
        <v>136</v>
      </c>
      <c r="D615" t="s">
        <v>55</v>
      </c>
      <c r="E615" t="b">
        <v>1</v>
      </c>
      <c r="H615">
        <v>0</v>
      </c>
    </row>
    <row r="616" spans="1:8" x14ac:dyDescent="0.4">
      <c r="A616" t="s">
        <v>253</v>
      </c>
      <c r="B616" t="s">
        <v>731</v>
      </c>
      <c r="C616" t="s">
        <v>136</v>
      </c>
      <c r="D616" t="s">
        <v>55</v>
      </c>
      <c r="E616" t="b">
        <v>1</v>
      </c>
      <c r="H616">
        <v>0</v>
      </c>
    </row>
    <row r="617" spans="1:8" x14ac:dyDescent="0.4">
      <c r="A617" t="s">
        <v>253</v>
      </c>
      <c r="B617" t="s">
        <v>732</v>
      </c>
      <c r="C617" t="s">
        <v>136</v>
      </c>
      <c r="D617" t="s">
        <v>55</v>
      </c>
      <c r="E617" t="b">
        <v>1</v>
      </c>
      <c r="H617">
        <v>0</v>
      </c>
    </row>
    <row r="618" spans="1:8" x14ac:dyDescent="0.4">
      <c r="A618" t="s">
        <v>253</v>
      </c>
      <c r="B618" t="s">
        <v>733</v>
      </c>
      <c r="C618" t="s">
        <v>136</v>
      </c>
      <c r="D618" t="s">
        <v>55</v>
      </c>
      <c r="E618" t="b">
        <v>1</v>
      </c>
      <c r="H618">
        <v>0</v>
      </c>
    </row>
    <row r="619" spans="1:8" x14ac:dyDescent="0.4">
      <c r="A619" t="s">
        <v>255</v>
      </c>
      <c r="B619" t="s">
        <v>734</v>
      </c>
      <c r="C619" t="s">
        <v>136</v>
      </c>
      <c r="D619" t="s">
        <v>293</v>
      </c>
      <c r="E619" t="b">
        <v>1</v>
      </c>
      <c r="H619">
        <v>0</v>
      </c>
    </row>
    <row r="620" spans="1:8" x14ac:dyDescent="0.4">
      <c r="A620" t="s">
        <v>255</v>
      </c>
      <c r="B620" t="s">
        <v>735</v>
      </c>
      <c r="C620" t="s">
        <v>136</v>
      </c>
      <c r="D620" t="s">
        <v>293</v>
      </c>
      <c r="E620" t="b">
        <v>1</v>
      </c>
      <c r="H620">
        <v>0</v>
      </c>
    </row>
    <row r="621" spans="1:8" x14ac:dyDescent="0.4">
      <c r="A621" t="s">
        <v>255</v>
      </c>
      <c r="B621" t="s">
        <v>736</v>
      </c>
      <c r="C621" t="s">
        <v>136</v>
      </c>
      <c r="D621" t="s">
        <v>293</v>
      </c>
      <c r="E621" t="b">
        <v>1</v>
      </c>
      <c r="H621">
        <v>0</v>
      </c>
    </row>
    <row r="622" spans="1:8" x14ac:dyDescent="0.4">
      <c r="A622" t="s">
        <v>255</v>
      </c>
      <c r="B622" t="s">
        <v>737</v>
      </c>
      <c r="C622" t="s">
        <v>136</v>
      </c>
      <c r="D622" t="s">
        <v>293</v>
      </c>
      <c r="E622" t="b">
        <v>1</v>
      </c>
      <c r="H622">
        <v>0</v>
      </c>
    </row>
    <row r="623" spans="1:8" x14ac:dyDescent="0.4">
      <c r="A623" t="s">
        <v>255</v>
      </c>
      <c r="B623" t="s">
        <v>738</v>
      </c>
      <c r="C623" t="s">
        <v>136</v>
      </c>
      <c r="D623" t="s">
        <v>293</v>
      </c>
      <c r="E623" t="b">
        <v>1</v>
      </c>
      <c r="H623">
        <v>0</v>
      </c>
    </row>
    <row r="624" spans="1:8" x14ac:dyDescent="0.4">
      <c r="A624" t="s">
        <v>255</v>
      </c>
      <c r="B624" t="s">
        <v>739</v>
      </c>
      <c r="C624" t="s">
        <v>136</v>
      </c>
      <c r="D624" t="s">
        <v>293</v>
      </c>
      <c r="E624" t="b">
        <v>1</v>
      </c>
      <c r="H624">
        <v>0</v>
      </c>
    </row>
    <row r="625" spans="1:8" x14ac:dyDescent="0.4">
      <c r="A625" t="s">
        <v>255</v>
      </c>
      <c r="B625" t="s">
        <v>740</v>
      </c>
      <c r="C625" t="s">
        <v>136</v>
      </c>
      <c r="D625" t="s">
        <v>293</v>
      </c>
      <c r="E625" t="b">
        <v>1</v>
      </c>
      <c r="H625">
        <v>0</v>
      </c>
    </row>
    <row r="626" spans="1:8" x14ac:dyDescent="0.4">
      <c r="A626" t="s">
        <v>255</v>
      </c>
      <c r="B626" t="s">
        <v>741</v>
      </c>
      <c r="C626" t="s">
        <v>136</v>
      </c>
      <c r="D626" t="s">
        <v>293</v>
      </c>
      <c r="E626" t="b">
        <v>1</v>
      </c>
      <c r="H626">
        <v>0</v>
      </c>
    </row>
    <row r="627" spans="1:8" x14ac:dyDescent="0.4">
      <c r="A627" t="s">
        <v>255</v>
      </c>
      <c r="B627" t="s">
        <v>742</v>
      </c>
      <c r="C627" t="s">
        <v>136</v>
      </c>
      <c r="D627" t="s">
        <v>293</v>
      </c>
      <c r="E627" t="b">
        <v>1</v>
      </c>
      <c r="H627">
        <v>0</v>
      </c>
    </row>
    <row r="628" spans="1:8" x14ac:dyDescent="0.4">
      <c r="A628" t="s">
        <v>255</v>
      </c>
      <c r="B628" t="s">
        <v>743</v>
      </c>
      <c r="C628" t="s">
        <v>136</v>
      </c>
      <c r="D628" t="s">
        <v>293</v>
      </c>
      <c r="E628" t="b">
        <v>1</v>
      </c>
      <c r="H628">
        <v>0</v>
      </c>
    </row>
    <row r="629" spans="1:8" x14ac:dyDescent="0.4">
      <c r="A629" t="s">
        <v>255</v>
      </c>
      <c r="B629" t="s">
        <v>744</v>
      </c>
      <c r="C629" t="s">
        <v>136</v>
      </c>
      <c r="D629" t="s">
        <v>293</v>
      </c>
      <c r="E629" t="b">
        <v>1</v>
      </c>
      <c r="H629">
        <v>0</v>
      </c>
    </row>
    <row r="630" spans="1:8" x14ac:dyDescent="0.4">
      <c r="A630" t="s">
        <v>255</v>
      </c>
      <c r="B630" t="s">
        <v>745</v>
      </c>
      <c r="C630" t="s">
        <v>136</v>
      </c>
      <c r="D630" t="s">
        <v>293</v>
      </c>
      <c r="E630" t="b">
        <v>1</v>
      </c>
      <c r="H630">
        <v>0</v>
      </c>
    </row>
    <row r="631" spans="1:8" x14ac:dyDescent="0.4">
      <c r="A631" t="s">
        <v>255</v>
      </c>
      <c r="B631" t="s">
        <v>746</v>
      </c>
      <c r="D631" t="s">
        <v>293</v>
      </c>
      <c r="E631" t="b">
        <v>0</v>
      </c>
      <c r="H631">
        <v>0</v>
      </c>
    </row>
    <row r="632" spans="1:8" x14ac:dyDescent="0.4">
      <c r="A632" t="s">
        <v>255</v>
      </c>
      <c r="B632" t="s">
        <v>747</v>
      </c>
      <c r="D632" t="s">
        <v>290</v>
      </c>
      <c r="E632" t="b">
        <v>0</v>
      </c>
      <c r="H632">
        <v>0</v>
      </c>
    </row>
    <row r="633" spans="1:8" x14ac:dyDescent="0.4">
      <c r="A633" t="s">
        <v>255</v>
      </c>
      <c r="B633" t="s">
        <v>748</v>
      </c>
      <c r="D633" t="s">
        <v>290</v>
      </c>
      <c r="E633" t="b">
        <v>0</v>
      </c>
      <c r="H633">
        <v>0</v>
      </c>
    </row>
    <row r="634" spans="1:8" x14ac:dyDescent="0.4">
      <c r="A634" t="s">
        <v>255</v>
      </c>
      <c r="B634" t="s">
        <v>749</v>
      </c>
      <c r="D634" t="s">
        <v>55</v>
      </c>
      <c r="E634" t="b">
        <v>0</v>
      </c>
      <c r="H634">
        <v>0</v>
      </c>
    </row>
    <row r="635" spans="1:8" x14ac:dyDescent="0.4">
      <c r="A635" t="s">
        <v>257</v>
      </c>
      <c r="B635" t="s">
        <v>615</v>
      </c>
      <c r="D635" t="s">
        <v>46</v>
      </c>
      <c r="E635" t="b">
        <v>0</v>
      </c>
      <c r="H635">
        <v>0</v>
      </c>
    </row>
    <row r="636" spans="1:8" x14ac:dyDescent="0.4">
      <c r="A636" t="s">
        <v>257</v>
      </c>
      <c r="B636" t="s">
        <v>616</v>
      </c>
      <c r="D636" t="s">
        <v>46</v>
      </c>
      <c r="E636" t="b">
        <v>0</v>
      </c>
      <c r="H636">
        <v>0</v>
      </c>
    </row>
    <row r="637" spans="1:8" x14ac:dyDescent="0.4">
      <c r="A637" t="s">
        <v>257</v>
      </c>
      <c r="B637" t="s">
        <v>617</v>
      </c>
      <c r="D637" t="s">
        <v>46</v>
      </c>
      <c r="E637" t="b">
        <v>0</v>
      </c>
      <c r="H637">
        <v>0</v>
      </c>
    </row>
    <row r="638" spans="1:8" x14ac:dyDescent="0.4">
      <c r="A638" t="s">
        <v>259</v>
      </c>
      <c r="B638" t="s">
        <v>750</v>
      </c>
      <c r="D638" t="s">
        <v>293</v>
      </c>
      <c r="E638" t="b">
        <v>0</v>
      </c>
      <c r="H638">
        <v>0</v>
      </c>
    </row>
    <row r="639" spans="1:8" x14ac:dyDescent="0.4">
      <c r="A639" t="s">
        <v>259</v>
      </c>
      <c r="B639" t="s">
        <v>751</v>
      </c>
      <c r="D639" t="s">
        <v>293</v>
      </c>
      <c r="E639" t="b">
        <v>0</v>
      </c>
      <c r="H639">
        <v>0</v>
      </c>
    </row>
    <row r="640" spans="1:8" x14ac:dyDescent="0.4">
      <c r="A640" t="s">
        <v>259</v>
      </c>
      <c r="B640" t="s">
        <v>752</v>
      </c>
      <c r="D640" t="s">
        <v>293</v>
      </c>
      <c r="E640" t="b">
        <v>0</v>
      </c>
      <c r="H640">
        <v>0</v>
      </c>
    </row>
    <row r="641" spans="1:8" x14ac:dyDescent="0.4">
      <c r="A641" t="s">
        <v>259</v>
      </c>
      <c r="B641" t="s">
        <v>753</v>
      </c>
      <c r="D641" t="s">
        <v>293</v>
      </c>
      <c r="E641" t="b">
        <v>0</v>
      </c>
      <c r="H641">
        <v>0</v>
      </c>
    </row>
    <row r="642" spans="1:8" x14ac:dyDescent="0.4">
      <c r="A642" t="s">
        <v>259</v>
      </c>
      <c r="B642" t="s">
        <v>754</v>
      </c>
      <c r="D642" t="s">
        <v>293</v>
      </c>
      <c r="E642" t="b">
        <v>0</v>
      </c>
      <c r="H642">
        <v>0</v>
      </c>
    </row>
    <row r="643" spans="1:8" x14ac:dyDescent="0.4">
      <c r="A643" t="s">
        <v>259</v>
      </c>
      <c r="B643" t="s">
        <v>755</v>
      </c>
      <c r="D643" t="s">
        <v>293</v>
      </c>
      <c r="E643" t="b">
        <v>0</v>
      </c>
      <c r="H643">
        <v>0</v>
      </c>
    </row>
    <row r="644" spans="1:8" x14ac:dyDescent="0.4">
      <c r="A644" t="s">
        <v>259</v>
      </c>
      <c r="B644" t="s">
        <v>756</v>
      </c>
      <c r="D644" t="s">
        <v>293</v>
      </c>
      <c r="E644" t="b">
        <v>0</v>
      </c>
      <c r="H644">
        <v>0</v>
      </c>
    </row>
    <row r="645" spans="1:8" x14ac:dyDescent="0.4">
      <c r="A645" t="s">
        <v>259</v>
      </c>
      <c r="B645" t="s">
        <v>757</v>
      </c>
      <c r="D645" t="s">
        <v>293</v>
      </c>
      <c r="E645" t="b">
        <v>0</v>
      </c>
      <c r="H645">
        <v>0</v>
      </c>
    </row>
    <row r="646" spans="1:8" x14ac:dyDescent="0.4">
      <c r="A646" t="s">
        <v>259</v>
      </c>
      <c r="B646" t="s">
        <v>758</v>
      </c>
      <c r="D646" t="s">
        <v>293</v>
      </c>
      <c r="E646" t="b">
        <v>0</v>
      </c>
      <c r="H646">
        <v>0</v>
      </c>
    </row>
    <row r="647" spans="1:8" x14ac:dyDescent="0.4">
      <c r="A647" t="s">
        <v>259</v>
      </c>
      <c r="B647" t="s">
        <v>759</v>
      </c>
      <c r="D647" t="s">
        <v>293</v>
      </c>
      <c r="E647" t="b">
        <v>0</v>
      </c>
      <c r="H647">
        <v>0</v>
      </c>
    </row>
    <row r="648" spans="1:8" x14ac:dyDescent="0.4">
      <c r="A648" t="s">
        <v>259</v>
      </c>
      <c r="B648" t="s">
        <v>760</v>
      </c>
      <c r="D648" t="s">
        <v>293</v>
      </c>
      <c r="E648" t="b">
        <v>0</v>
      </c>
      <c r="H648">
        <v>0</v>
      </c>
    </row>
    <row r="649" spans="1:8" x14ac:dyDescent="0.4">
      <c r="A649" t="s">
        <v>259</v>
      </c>
      <c r="B649" t="s">
        <v>761</v>
      </c>
      <c r="D649" t="s">
        <v>293</v>
      </c>
      <c r="E649" t="b">
        <v>0</v>
      </c>
      <c r="H649">
        <v>0</v>
      </c>
    </row>
    <row r="650" spans="1:8" x14ac:dyDescent="0.4">
      <c r="A650" t="s">
        <v>259</v>
      </c>
      <c r="B650" t="s">
        <v>762</v>
      </c>
      <c r="D650" t="s">
        <v>293</v>
      </c>
      <c r="E650" t="b">
        <v>0</v>
      </c>
      <c r="H650">
        <v>0</v>
      </c>
    </row>
    <row r="651" spans="1:8" x14ac:dyDescent="0.4">
      <c r="A651" t="s">
        <v>259</v>
      </c>
      <c r="B651" t="s">
        <v>763</v>
      </c>
      <c r="D651" t="s">
        <v>293</v>
      </c>
      <c r="E651" t="b">
        <v>0</v>
      </c>
      <c r="H651">
        <v>0</v>
      </c>
    </row>
    <row r="652" spans="1:8" x14ac:dyDescent="0.4">
      <c r="A652" t="s">
        <v>259</v>
      </c>
      <c r="B652" t="s">
        <v>764</v>
      </c>
      <c r="D652" t="s">
        <v>293</v>
      </c>
      <c r="E652" t="b">
        <v>0</v>
      </c>
      <c r="H652">
        <v>0</v>
      </c>
    </row>
    <row r="653" spans="1:8" x14ac:dyDescent="0.4">
      <c r="A653" t="s">
        <v>259</v>
      </c>
      <c r="B653" t="s">
        <v>765</v>
      </c>
      <c r="D653" t="s">
        <v>293</v>
      </c>
      <c r="E653" t="b">
        <v>0</v>
      </c>
      <c r="H653">
        <v>0</v>
      </c>
    </row>
    <row r="654" spans="1:8" x14ac:dyDescent="0.4">
      <c r="A654" t="s">
        <v>259</v>
      </c>
      <c r="B654" t="s">
        <v>766</v>
      </c>
      <c r="D654" t="s">
        <v>293</v>
      </c>
      <c r="E654" t="b">
        <v>0</v>
      </c>
      <c r="H654">
        <v>0</v>
      </c>
    </row>
    <row r="655" spans="1:8" x14ac:dyDescent="0.4">
      <c r="A655" t="s">
        <v>259</v>
      </c>
      <c r="B655" t="s">
        <v>767</v>
      </c>
      <c r="D655" t="s">
        <v>293</v>
      </c>
      <c r="E655" t="b">
        <v>0</v>
      </c>
      <c r="H655">
        <v>0</v>
      </c>
    </row>
    <row r="656" spans="1:8" x14ac:dyDescent="0.4">
      <c r="A656" t="s">
        <v>259</v>
      </c>
      <c r="B656" t="s">
        <v>768</v>
      </c>
      <c r="D656" t="s">
        <v>293</v>
      </c>
      <c r="E656" t="b">
        <v>0</v>
      </c>
      <c r="H656">
        <v>0</v>
      </c>
    </row>
    <row r="657" spans="1:8" x14ac:dyDescent="0.4">
      <c r="A657" t="s">
        <v>259</v>
      </c>
      <c r="B657" t="s">
        <v>769</v>
      </c>
      <c r="D657" t="s">
        <v>293</v>
      </c>
      <c r="E657" t="b">
        <v>0</v>
      </c>
      <c r="H657">
        <v>0</v>
      </c>
    </row>
    <row r="658" spans="1:8" x14ac:dyDescent="0.4">
      <c r="A658" t="s">
        <v>259</v>
      </c>
      <c r="B658" t="s">
        <v>770</v>
      </c>
      <c r="D658" t="s">
        <v>293</v>
      </c>
      <c r="E658" t="b">
        <v>0</v>
      </c>
      <c r="H658">
        <v>0</v>
      </c>
    </row>
    <row r="659" spans="1:8" x14ac:dyDescent="0.4">
      <c r="A659" t="s">
        <v>259</v>
      </c>
      <c r="B659" t="s">
        <v>771</v>
      </c>
      <c r="D659" t="s">
        <v>293</v>
      </c>
      <c r="E659" t="b">
        <v>0</v>
      </c>
      <c r="H659">
        <v>0</v>
      </c>
    </row>
    <row r="660" spans="1:8" x14ac:dyDescent="0.4">
      <c r="A660" t="s">
        <v>259</v>
      </c>
      <c r="B660" t="s">
        <v>772</v>
      </c>
      <c r="D660" t="s">
        <v>293</v>
      </c>
      <c r="E660" t="b">
        <v>0</v>
      </c>
      <c r="H660">
        <v>0</v>
      </c>
    </row>
    <row r="661" spans="1:8" x14ac:dyDescent="0.4">
      <c r="A661" t="s">
        <v>259</v>
      </c>
      <c r="B661" t="s">
        <v>773</v>
      </c>
      <c r="D661" t="s">
        <v>293</v>
      </c>
      <c r="E661" t="b">
        <v>0</v>
      </c>
      <c r="H661">
        <v>0</v>
      </c>
    </row>
    <row r="662" spans="1:8" x14ac:dyDescent="0.4">
      <c r="A662" t="s">
        <v>259</v>
      </c>
      <c r="B662" t="s">
        <v>774</v>
      </c>
      <c r="D662" t="s">
        <v>293</v>
      </c>
      <c r="E662" t="b">
        <v>0</v>
      </c>
      <c r="H662">
        <v>0</v>
      </c>
    </row>
    <row r="663" spans="1:8" x14ac:dyDescent="0.4">
      <c r="A663" t="s">
        <v>259</v>
      </c>
      <c r="B663" t="s">
        <v>775</v>
      </c>
      <c r="D663" t="s">
        <v>293</v>
      </c>
      <c r="E663" t="b">
        <v>0</v>
      </c>
      <c r="H663">
        <v>0</v>
      </c>
    </row>
    <row r="664" spans="1:8" x14ac:dyDescent="0.4">
      <c r="A664" t="s">
        <v>259</v>
      </c>
      <c r="B664" t="s">
        <v>776</v>
      </c>
      <c r="D664" t="s">
        <v>293</v>
      </c>
      <c r="E664" t="b">
        <v>0</v>
      </c>
      <c r="H664">
        <v>0</v>
      </c>
    </row>
    <row r="665" spans="1:8" x14ac:dyDescent="0.4">
      <c r="A665" t="s">
        <v>259</v>
      </c>
      <c r="B665" t="s">
        <v>777</v>
      </c>
      <c r="D665" t="s">
        <v>293</v>
      </c>
      <c r="E665" t="b">
        <v>0</v>
      </c>
      <c r="H665">
        <v>0</v>
      </c>
    </row>
    <row r="666" spans="1:8" x14ac:dyDescent="0.4">
      <c r="A666" t="s">
        <v>259</v>
      </c>
      <c r="B666" t="s">
        <v>778</v>
      </c>
      <c r="D666" t="s">
        <v>293</v>
      </c>
      <c r="E666" t="b">
        <v>0</v>
      </c>
      <c r="H666">
        <v>0</v>
      </c>
    </row>
    <row r="667" spans="1:8" x14ac:dyDescent="0.4">
      <c r="A667" t="s">
        <v>259</v>
      </c>
      <c r="B667" t="s">
        <v>470</v>
      </c>
      <c r="D667" t="s">
        <v>293</v>
      </c>
      <c r="E667" t="b">
        <v>0</v>
      </c>
      <c r="H667">
        <v>0</v>
      </c>
    </row>
    <row r="668" spans="1:8" x14ac:dyDescent="0.4">
      <c r="A668" t="s">
        <v>259</v>
      </c>
      <c r="B668" t="s">
        <v>471</v>
      </c>
      <c r="D668" t="s">
        <v>293</v>
      </c>
      <c r="E668" t="b">
        <v>0</v>
      </c>
      <c r="H668">
        <v>0</v>
      </c>
    </row>
    <row r="669" spans="1:8" x14ac:dyDescent="0.4">
      <c r="A669" t="s">
        <v>259</v>
      </c>
      <c r="B669" t="s">
        <v>472</v>
      </c>
      <c r="D669" t="s">
        <v>293</v>
      </c>
      <c r="E669" t="b">
        <v>0</v>
      </c>
      <c r="H669">
        <v>0</v>
      </c>
    </row>
    <row r="670" spans="1:8" x14ac:dyDescent="0.4">
      <c r="A670" t="s">
        <v>259</v>
      </c>
      <c r="B670" t="s">
        <v>473</v>
      </c>
      <c r="D670" t="s">
        <v>293</v>
      </c>
      <c r="E670" t="b">
        <v>0</v>
      </c>
      <c r="H670">
        <v>0</v>
      </c>
    </row>
    <row r="671" spans="1:8" x14ac:dyDescent="0.4">
      <c r="A671" t="s">
        <v>259</v>
      </c>
      <c r="B671" t="s">
        <v>474</v>
      </c>
      <c r="D671" t="s">
        <v>293</v>
      </c>
      <c r="E671" t="b">
        <v>0</v>
      </c>
      <c r="H671">
        <v>0</v>
      </c>
    </row>
    <row r="672" spans="1:8" x14ac:dyDescent="0.4">
      <c r="A672" t="s">
        <v>259</v>
      </c>
      <c r="B672" t="s">
        <v>475</v>
      </c>
      <c r="D672" t="s">
        <v>293</v>
      </c>
      <c r="E672" t="b">
        <v>0</v>
      </c>
      <c r="H672">
        <v>0</v>
      </c>
    </row>
    <row r="673" spans="1:8" x14ac:dyDescent="0.4">
      <c r="A673" t="s">
        <v>259</v>
      </c>
      <c r="B673" t="s">
        <v>733</v>
      </c>
      <c r="D673" t="s">
        <v>293</v>
      </c>
      <c r="E673" t="b">
        <v>0</v>
      </c>
      <c r="H673">
        <v>0</v>
      </c>
    </row>
    <row r="674" spans="1:8" x14ac:dyDescent="0.4">
      <c r="A674" t="s">
        <v>261</v>
      </c>
      <c r="B674" t="s">
        <v>753</v>
      </c>
      <c r="D674" t="s">
        <v>293</v>
      </c>
      <c r="E674" t="b">
        <v>0</v>
      </c>
      <c r="H674">
        <v>0</v>
      </c>
    </row>
    <row r="675" spans="1:8" x14ac:dyDescent="0.4">
      <c r="A675" t="s">
        <v>261</v>
      </c>
      <c r="B675" t="s">
        <v>754</v>
      </c>
      <c r="D675" t="s">
        <v>293</v>
      </c>
      <c r="E675" t="b">
        <v>0</v>
      </c>
      <c r="H675">
        <v>0</v>
      </c>
    </row>
    <row r="676" spans="1:8" x14ac:dyDescent="0.4">
      <c r="A676" t="s">
        <v>261</v>
      </c>
      <c r="B676" t="s">
        <v>779</v>
      </c>
      <c r="D676" t="s">
        <v>293</v>
      </c>
      <c r="E676" t="b">
        <v>0</v>
      </c>
      <c r="H676">
        <v>0</v>
      </c>
    </row>
    <row r="677" spans="1:8" x14ac:dyDescent="0.4">
      <c r="A677" t="s">
        <v>261</v>
      </c>
      <c r="B677" t="s">
        <v>756</v>
      </c>
      <c r="D677" t="s">
        <v>293</v>
      </c>
      <c r="E677" t="b">
        <v>0</v>
      </c>
      <c r="H677">
        <v>0</v>
      </c>
    </row>
    <row r="678" spans="1:8" x14ac:dyDescent="0.4">
      <c r="A678" t="s">
        <v>261</v>
      </c>
      <c r="B678" t="s">
        <v>757</v>
      </c>
      <c r="D678" t="s">
        <v>293</v>
      </c>
      <c r="E678" t="b">
        <v>0</v>
      </c>
      <c r="H678">
        <v>0</v>
      </c>
    </row>
    <row r="679" spans="1:8" x14ac:dyDescent="0.4">
      <c r="A679" t="s">
        <v>261</v>
      </c>
      <c r="B679" t="s">
        <v>758</v>
      </c>
      <c r="D679" t="s">
        <v>293</v>
      </c>
      <c r="E679" t="b">
        <v>0</v>
      </c>
      <c r="H679">
        <v>0</v>
      </c>
    </row>
    <row r="680" spans="1:8" x14ac:dyDescent="0.4">
      <c r="A680" t="s">
        <v>261</v>
      </c>
      <c r="B680" t="s">
        <v>780</v>
      </c>
      <c r="D680" t="s">
        <v>293</v>
      </c>
      <c r="E680" t="b">
        <v>0</v>
      </c>
      <c r="H680">
        <v>0</v>
      </c>
    </row>
    <row r="681" spans="1:8" x14ac:dyDescent="0.4">
      <c r="A681" t="s">
        <v>261</v>
      </c>
      <c r="B681" t="s">
        <v>764</v>
      </c>
      <c r="D681" t="s">
        <v>293</v>
      </c>
      <c r="E681" t="b">
        <v>0</v>
      </c>
      <c r="H681">
        <v>0</v>
      </c>
    </row>
    <row r="682" spans="1:8" x14ac:dyDescent="0.4">
      <c r="A682" t="s">
        <v>261</v>
      </c>
      <c r="B682" t="s">
        <v>781</v>
      </c>
      <c r="D682" t="s">
        <v>293</v>
      </c>
      <c r="E682" t="b">
        <v>0</v>
      </c>
      <c r="H682">
        <v>0</v>
      </c>
    </row>
    <row r="683" spans="1:8" x14ac:dyDescent="0.4">
      <c r="A683" t="s">
        <v>261</v>
      </c>
      <c r="B683" t="s">
        <v>782</v>
      </c>
      <c r="D683" t="s">
        <v>293</v>
      </c>
      <c r="E683" t="b">
        <v>0</v>
      </c>
      <c r="H683">
        <v>0</v>
      </c>
    </row>
    <row r="684" spans="1:8" x14ac:dyDescent="0.4">
      <c r="A684" t="s">
        <v>261</v>
      </c>
      <c r="B684" t="s">
        <v>767</v>
      </c>
      <c r="D684" t="s">
        <v>293</v>
      </c>
      <c r="E684" t="b">
        <v>0</v>
      </c>
      <c r="H684">
        <v>0</v>
      </c>
    </row>
    <row r="685" spans="1:8" x14ac:dyDescent="0.4">
      <c r="A685" t="s">
        <v>261</v>
      </c>
      <c r="B685" t="s">
        <v>733</v>
      </c>
      <c r="D685" t="s">
        <v>293</v>
      </c>
      <c r="E685" t="b">
        <v>0</v>
      </c>
      <c r="H685">
        <v>0</v>
      </c>
    </row>
    <row r="686" spans="1:8" x14ac:dyDescent="0.4">
      <c r="A686" t="s">
        <v>263</v>
      </c>
      <c r="B686" t="s">
        <v>753</v>
      </c>
      <c r="D686" t="s">
        <v>293</v>
      </c>
      <c r="E686" t="b">
        <v>0</v>
      </c>
      <c r="H686">
        <v>0</v>
      </c>
    </row>
    <row r="687" spans="1:8" x14ac:dyDescent="0.4">
      <c r="A687" t="s">
        <v>263</v>
      </c>
      <c r="B687" t="s">
        <v>754</v>
      </c>
      <c r="D687" t="s">
        <v>293</v>
      </c>
      <c r="E687" t="b">
        <v>0</v>
      </c>
      <c r="H687">
        <v>0</v>
      </c>
    </row>
    <row r="688" spans="1:8" x14ac:dyDescent="0.4">
      <c r="A688" t="s">
        <v>263</v>
      </c>
      <c r="B688" t="s">
        <v>779</v>
      </c>
      <c r="D688" t="s">
        <v>293</v>
      </c>
      <c r="E688" t="b">
        <v>0</v>
      </c>
      <c r="H688">
        <v>0</v>
      </c>
    </row>
    <row r="689" spans="1:8" x14ac:dyDescent="0.4">
      <c r="A689" t="s">
        <v>263</v>
      </c>
      <c r="B689" t="s">
        <v>756</v>
      </c>
      <c r="D689" t="s">
        <v>293</v>
      </c>
      <c r="E689" t="b">
        <v>0</v>
      </c>
      <c r="H689">
        <v>0</v>
      </c>
    </row>
    <row r="690" spans="1:8" x14ac:dyDescent="0.4">
      <c r="A690" t="s">
        <v>263</v>
      </c>
      <c r="B690" t="s">
        <v>757</v>
      </c>
      <c r="D690" t="s">
        <v>293</v>
      </c>
      <c r="E690" t="b">
        <v>0</v>
      </c>
      <c r="H690">
        <v>0</v>
      </c>
    </row>
    <row r="691" spans="1:8" x14ac:dyDescent="0.4">
      <c r="A691" t="s">
        <v>263</v>
      </c>
      <c r="B691" t="s">
        <v>758</v>
      </c>
      <c r="D691" t="s">
        <v>293</v>
      </c>
      <c r="E691" t="b">
        <v>0</v>
      </c>
      <c r="H691">
        <v>0</v>
      </c>
    </row>
    <row r="692" spans="1:8" x14ac:dyDescent="0.4">
      <c r="A692" t="s">
        <v>263</v>
      </c>
      <c r="B692" t="s">
        <v>780</v>
      </c>
      <c r="D692" t="s">
        <v>293</v>
      </c>
      <c r="E692" t="b">
        <v>0</v>
      </c>
      <c r="H692">
        <v>0</v>
      </c>
    </row>
    <row r="693" spans="1:8" x14ac:dyDescent="0.4">
      <c r="A693" t="s">
        <v>263</v>
      </c>
      <c r="B693" t="s">
        <v>733</v>
      </c>
      <c r="D693" t="s">
        <v>293</v>
      </c>
      <c r="E693" t="b">
        <v>0</v>
      </c>
      <c r="H693">
        <v>0</v>
      </c>
    </row>
    <row r="694" spans="1:8" x14ac:dyDescent="0.4">
      <c r="A694" t="s">
        <v>265</v>
      </c>
      <c r="B694" t="s">
        <v>753</v>
      </c>
      <c r="C694" t="s">
        <v>136</v>
      </c>
      <c r="D694" t="s">
        <v>293</v>
      </c>
      <c r="E694" t="b">
        <v>1</v>
      </c>
      <c r="H694">
        <v>0</v>
      </c>
    </row>
    <row r="695" spans="1:8" x14ac:dyDescent="0.4">
      <c r="A695" t="s">
        <v>265</v>
      </c>
      <c r="B695" t="s">
        <v>754</v>
      </c>
      <c r="C695" t="s">
        <v>136</v>
      </c>
      <c r="D695" t="s">
        <v>293</v>
      </c>
      <c r="E695" t="b">
        <v>1</v>
      </c>
      <c r="H695">
        <v>0</v>
      </c>
    </row>
    <row r="696" spans="1:8" x14ac:dyDescent="0.4">
      <c r="A696" t="s">
        <v>265</v>
      </c>
      <c r="B696" t="s">
        <v>779</v>
      </c>
      <c r="C696" t="s">
        <v>136</v>
      </c>
      <c r="D696" t="s">
        <v>293</v>
      </c>
      <c r="E696" t="b">
        <v>1</v>
      </c>
      <c r="H696">
        <v>0</v>
      </c>
    </row>
    <row r="697" spans="1:8" x14ac:dyDescent="0.4">
      <c r="A697" t="s">
        <v>265</v>
      </c>
      <c r="B697" t="s">
        <v>756</v>
      </c>
      <c r="C697" t="s">
        <v>136</v>
      </c>
      <c r="D697" t="s">
        <v>293</v>
      </c>
      <c r="E697" t="b">
        <v>1</v>
      </c>
      <c r="H697">
        <v>0</v>
      </c>
    </row>
    <row r="698" spans="1:8" x14ac:dyDescent="0.4">
      <c r="A698" t="s">
        <v>265</v>
      </c>
      <c r="B698" t="s">
        <v>757</v>
      </c>
      <c r="C698" t="s">
        <v>136</v>
      </c>
      <c r="D698" t="s">
        <v>293</v>
      </c>
      <c r="E698" t="b">
        <v>1</v>
      </c>
      <c r="H698">
        <v>0</v>
      </c>
    </row>
    <row r="699" spans="1:8" x14ac:dyDescent="0.4">
      <c r="A699" t="s">
        <v>265</v>
      </c>
      <c r="B699" t="s">
        <v>758</v>
      </c>
      <c r="C699" t="s">
        <v>136</v>
      </c>
      <c r="D699" t="s">
        <v>293</v>
      </c>
      <c r="E699" t="b">
        <v>1</v>
      </c>
      <c r="H699">
        <v>0</v>
      </c>
    </row>
    <row r="700" spans="1:8" x14ac:dyDescent="0.4">
      <c r="A700" t="s">
        <v>265</v>
      </c>
      <c r="B700" t="s">
        <v>780</v>
      </c>
      <c r="C700" t="s">
        <v>136</v>
      </c>
      <c r="D700" t="s">
        <v>293</v>
      </c>
      <c r="E700" t="b">
        <v>1</v>
      </c>
      <c r="H700">
        <v>0</v>
      </c>
    </row>
    <row r="701" spans="1:8" x14ac:dyDescent="0.4">
      <c r="A701" t="s">
        <v>265</v>
      </c>
      <c r="B701" t="s">
        <v>764</v>
      </c>
      <c r="C701" t="s">
        <v>136</v>
      </c>
      <c r="D701" t="s">
        <v>293</v>
      </c>
      <c r="E701" t="b">
        <v>1</v>
      </c>
      <c r="H701">
        <v>0</v>
      </c>
    </row>
    <row r="702" spans="1:8" x14ac:dyDescent="0.4">
      <c r="A702" t="s">
        <v>265</v>
      </c>
      <c r="B702" t="s">
        <v>765</v>
      </c>
      <c r="C702" t="s">
        <v>136</v>
      </c>
      <c r="D702" t="s">
        <v>293</v>
      </c>
      <c r="E702" t="b">
        <v>1</v>
      </c>
      <c r="H702">
        <v>0</v>
      </c>
    </row>
    <row r="703" spans="1:8" x14ac:dyDescent="0.4">
      <c r="A703" t="s">
        <v>265</v>
      </c>
      <c r="B703" t="s">
        <v>766</v>
      </c>
      <c r="C703" t="s">
        <v>136</v>
      </c>
      <c r="D703" t="s">
        <v>293</v>
      </c>
      <c r="E703" t="b">
        <v>1</v>
      </c>
      <c r="H703">
        <v>0</v>
      </c>
    </row>
    <row r="704" spans="1:8" x14ac:dyDescent="0.4">
      <c r="A704" t="s">
        <v>265</v>
      </c>
      <c r="B704" t="s">
        <v>767</v>
      </c>
      <c r="C704" t="s">
        <v>136</v>
      </c>
      <c r="D704" t="s">
        <v>293</v>
      </c>
      <c r="E704" t="b">
        <v>1</v>
      </c>
      <c r="H704">
        <v>0</v>
      </c>
    </row>
    <row r="705" spans="1:8" x14ac:dyDescent="0.4">
      <c r="A705" t="s">
        <v>265</v>
      </c>
      <c r="B705" t="s">
        <v>733</v>
      </c>
      <c r="D705" t="s">
        <v>293</v>
      </c>
      <c r="E705" t="b">
        <v>0</v>
      </c>
      <c r="H705">
        <v>0</v>
      </c>
    </row>
    <row r="706" spans="1:8" x14ac:dyDescent="0.4">
      <c r="A706" t="s">
        <v>267</v>
      </c>
      <c r="B706" t="s">
        <v>783</v>
      </c>
      <c r="D706" t="s">
        <v>28</v>
      </c>
      <c r="E706" t="b">
        <v>0</v>
      </c>
      <c r="H706">
        <v>0</v>
      </c>
    </row>
    <row r="707" spans="1:8" x14ac:dyDescent="0.4">
      <c r="A707" t="s">
        <v>267</v>
      </c>
      <c r="B707" t="s">
        <v>784</v>
      </c>
      <c r="D707" t="s">
        <v>28</v>
      </c>
      <c r="E707" t="b">
        <v>0</v>
      </c>
      <c r="H707">
        <v>0</v>
      </c>
    </row>
    <row r="708" spans="1:8" x14ac:dyDescent="0.4">
      <c r="A708" t="s">
        <v>267</v>
      </c>
      <c r="B708" t="s">
        <v>785</v>
      </c>
      <c r="D708" t="s">
        <v>28</v>
      </c>
      <c r="E708" t="b">
        <v>0</v>
      </c>
      <c r="H708">
        <v>0</v>
      </c>
    </row>
    <row r="709" spans="1:8" x14ac:dyDescent="0.4">
      <c r="A709" t="s">
        <v>267</v>
      </c>
      <c r="B709" t="s">
        <v>786</v>
      </c>
      <c r="D709" t="s">
        <v>28</v>
      </c>
      <c r="E709" t="b">
        <v>0</v>
      </c>
      <c r="H709">
        <v>0</v>
      </c>
    </row>
    <row r="710" spans="1:8" x14ac:dyDescent="0.4">
      <c r="A710" t="s">
        <v>267</v>
      </c>
      <c r="B710" t="s">
        <v>787</v>
      </c>
      <c r="D710" t="s">
        <v>28</v>
      </c>
      <c r="E710" t="b">
        <v>0</v>
      </c>
      <c r="H710">
        <v>0</v>
      </c>
    </row>
    <row r="711" spans="1:8" x14ac:dyDescent="0.4">
      <c r="A711" t="s">
        <v>269</v>
      </c>
      <c r="B711" t="s">
        <v>603</v>
      </c>
      <c r="C711" t="s">
        <v>136</v>
      </c>
      <c r="D711" t="s">
        <v>49</v>
      </c>
      <c r="E711" t="b">
        <v>1</v>
      </c>
      <c r="H711">
        <v>0</v>
      </c>
    </row>
    <row r="712" spans="1:8" x14ac:dyDescent="0.4">
      <c r="A712" t="s">
        <v>269</v>
      </c>
      <c r="B712" t="s">
        <v>788</v>
      </c>
      <c r="C712" t="s">
        <v>136</v>
      </c>
      <c r="D712" t="s">
        <v>49</v>
      </c>
      <c r="E712" t="b">
        <v>1</v>
      </c>
      <c r="H712">
        <v>0</v>
      </c>
    </row>
    <row r="713" spans="1:8" x14ac:dyDescent="0.4">
      <c r="A713" t="s">
        <v>269</v>
      </c>
      <c r="B713" t="s">
        <v>788</v>
      </c>
      <c r="C713" t="s">
        <v>136</v>
      </c>
      <c r="D713" t="s">
        <v>49</v>
      </c>
      <c r="E713" t="b">
        <v>1</v>
      </c>
      <c r="H713">
        <v>0</v>
      </c>
    </row>
    <row r="714" spans="1:8" x14ac:dyDescent="0.4">
      <c r="A714" t="s">
        <v>269</v>
      </c>
      <c r="B714" t="s">
        <v>788</v>
      </c>
      <c r="C714" t="s">
        <v>136</v>
      </c>
      <c r="D714" t="s">
        <v>49</v>
      </c>
      <c r="E714" t="b">
        <v>1</v>
      </c>
      <c r="H714">
        <v>0</v>
      </c>
    </row>
    <row r="715" spans="1:8" x14ac:dyDescent="0.4">
      <c r="A715" t="s">
        <v>269</v>
      </c>
      <c r="B715" t="s">
        <v>789</v>
      </c>
      <c r="C715" t="s">
        <v>136</v>
      </c>
      <c r="D715" t="s">
        <v>49</v>
      </c>
      <c r="E715" t="b">
        <v>1</v>
      </c>
      <c r="H715">
        <v>0</v>
      </c>
    </row>
    <row r="716" spans="1:8" x14ac:dyDescent="0.4">
      <c r="A716" t="s">
        <v>269</v>
      </c>
      <c r="B716" t="s">
        <v>790</v>
      </c>
      <c r="D716" t="s">
        <v>49</v>
      </c>
      <c r="E716" t="b">
        <v>0</v>
      </c>
      <c r="H716">
        <v>0</v>
      </c>
    </row>
    <row r="717" spans="1:8" x14ac:dyDescent="0.4">
      <c r="A717" t="s">
        <v>271</v>
      </c>
      <c r="B717" t="s">
        <v>791</v>
      </c>
      <c r="C717" t="s">
        <v>136</v>
      </c>
      <c r="D717" t="s">
        <v>17</v>
      </c>
      <c r="E717" t="b">
        <v>1</v>
      </c>
      <c r="H717">
        <v>0</v>
      </c>
    </row>
    <row r="718" spans="1:8" x14ac:dyDescent="0.4">
      <c r="A718" t="s">
        <v>271</v>
      </c>
      <c r="B718" t="s">
        <v>792</v>
      </c>
      <c r="C718" t="s">
        <v>136</v>
      </c>
      <c r="D718" t="s">
        <v>17</v>
      </c>
      <c r="E718" t="b">
        <v>1</v>
      </c>
      <c r="H718">
        <v>0</v>
      </c>
    </row>
    <row r="719" spans="1:8" x14ac:dyDescent="0.4">
      <c r="A719" t="s">
        <v>271</v>
      </c>
      <c r="B719" t="s">
        <v>793</v>
      </c>
      <c r="D719" t="s">
        <v>17</v>
      </c>
      <c r="E719" t="b">
        <v>0</v>
      </c>
      <c r="H719">
        <v>0</v>
      </c>
    </row>
    <row r="720" spans="1:8" x14ac:dyDescent="0.4">
      <c r="A720" t="s">
        <v>271</v>
      </c>
      <c r="B720" t="s">
        <v>794</v>
      </c>
      <c r="D720" t="s">
        <v>17</v>
      </c>
      <c r="E720" t="b">
        <v>0</v>
      </c>
      <c r="H720">
        <v>0</v>
      </c>
    </row>
    <row r="721" spans="1:8" x14ac:dyDescent="0.4">
      <c r="A721" t="s">
        <v>271</v>
      </c>
      <c r="B721" t="s">
        <v>795</v>
      </c>
      <c r="D721" t="s">
        <v>17</v>
      </c>
      <c r="E721" t="b">
        <v>0</v>
      </c>
      <c r="H721">
        <v>0</v>
      </c>
    </row>
    <row r="722" spans="1:8" x14ac:dyDescent="0.4">
      <c r="A722" t="s">
        <v>271</v>
      </c>
      <c r="B722" t="s">
        <v>796</v>
      </c>
      <c r="D722" t="s">
        <v>17</v>
      </c>
      <c r="E722" t="b">
        <v>0</v>
      </c>
      <c r="H722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93"/>
  <sheetViews>
    <sheetView zoomScaleNormal="100" workbookViewId="0">
      <pane ySplit="1" topLeftCell="A56" activePane="bottomLeft" state="frozen"/>
      <selection pane="bottomLeft"/>
    </sheetView>
  </sheetViews>
  <sheetFormatPr defaultColWidth="8.69140625" defaultRowHeight="14.6" x14ac:dyDescent="0.4"/>
  <cols>
    <col min="1" max="2" width="12" customWidth="1"/>
    <col min="3" max="3" width="45" customWidth="1"/>
    <col min="4" max="4" width="16" customWidth="1"/>
    <col min="5" max="5" width="6" customWidth="1"/>
    <col min="6" max="6" width="10" customWidth="1"/>
    <col min="7" max="9" width="14" customWidth="1"/>
    <col min="10" max="10" width="24" customWidth="1"/>
    <col min="11" max="11" width="22" customWidth="1"/>
    <col min="12" max="13" width="20" customWidth="1"/>
    <col min="14" max="14" width="26" customWidth="1"/>
    <col min="15" max="15" width="10" customWidth="1"/>
  </cols>
  <sheetData>
    <row r="1" spans="1:15" ht="24.9" customHeight="1" x14ac:dyDescent="0.4">
      <c r="A1" s="10" t="s">
        <v>797</v>
      </c>
      <c r="B1" s="10" t="s">
        <v>121</v>
      </c>
      <c r="C1" s="10" t="s">
        <v>798</v>
      </c>
      <c r="D1" s="10" t="s">
        <v>799</v>
      </c>
      <c r="E1" s="10" t="s">
        <v>6</v>
      </c>
      <c r="F1" s="10" t="s">
        <v>5</v>
      </c>
      <c r="G1" s="10" t="s">
        <v>125</v>
      </c>
      <c r="H1" s="10" t="s">
        <v>127</v>
      </c>
      <c r="I1" s="10" t="s">
        <v>800</v>
      </c>
      <c r="J1" s="10" t="s">
        <v>801</v>
      </c>
      <c r="K1" s="10" t="s">
        <v>802</v>
      </c>
      <c r="L1" s="10" t="s">
        <v>129</v>
      </c>
      <c r="M1" s="10" t="s">
        <v>130</v>
      </c>
      <c r="N1" s="10" t="s">
        <v>131</v>
      </c>
      <c r="O1" s="10" t="s">
        <v>132</v>
      </c>
    </row>
    <row r="2" spans="1:15" x14ac:dyDescent="0.4">
      <c r="A2" t="s">
        <v>803</v>
      </c>
      <c r="B2" t="s">
        <v>151</v>
      </c>
      <c r="C2" t="s">
        <v>804</v>
      </c>
      <c r="D2" t="s">
        <v>805</v>
      </c>
      <c r="E2">
        <v>1</v>
      </c>
      <c r="F2" t="s">
        <v>290</v>
      </c>
      <c r="G2" t="s">
        <v>77</v>
      </c>
      <c r="H2">
        <v>100</v>
      </c>
      <c r="I2" t="s">
        <v>806</v>
      </c>
      <c r="J2" t="b">
        <v>1</v>
      </c>
      <c r="K2" t="b">
        <v>1</v>
      </c>
      <c r="L2" t="s">
        <v>807</v>
      </c>
      <c r="O2">
        <v>0</v>
      </c>
    </row>
    <row r="3" spans="1:15" x14ac:dyDescent="0.4">
      <c r="A3" t="s">
        <v>808</v>
      </c>
      <c r="B3" t="s">
        <v>151</v>
      </c>
      <c r="C3" t="s">
        <v>809</v>
      </c>
      <c r="D3" t="s">
        <v>805</v>
      </c>
      <c r="E3">
        <v>1</v>
      </c>
      <c r="F3" t="s">
        <v>290</v>
      </c>
      <c r="G3" t="s">
        <v>77</v>
      </c>
      <c r="H3">
        <v>100</v>
      </c>
      <c r="I3" t="s">
        <v>290</v>
      </c>
      <c r="J3" t="b">
        <v>1</v>
      </c>
      <c r="K3" t="b">
        <v>1</v>
      </c>
      <c r="O3">
        <v>0</v>
      </c>
    </row>
    <row r="4" spans="1:15" x14ac:dyDescent="0.4">
      <c r="A4" t="s">
        <v>810</v>
      </c>
      <c r="B4" t="s">
        <v>151</v>
      </c>
      <c r="C4" t="s">
        <v>811</v>
      </c>
      <c r="E4">
        <v>1</v>
      </c>
      <c r="F4" t="s">
        <v>290</v>
      </c>
      <c r="G4" t="s">
        <v>77</v>
      </c>
      <c r="H4">
        <v>100</v>
      </c>
      <c r="I4" t="s">
        <v>812</v>
      </c>
      <c r="J4" t="b">
        <v>1</v>
      </c>
      <c r="K4" t="b">
        <v>1</v>
      </c>
      <c r="O4">
        <v>0</v>
      </c>
    </row>
    <row r="5" spans="1:15" x14ac:dyDescent="0.4">
      <c r="A5" t="s">
        <v>813</v>
      </c>
      <c r="B5" t="s">
        <v>151</v>
      </c>
      <c r="C5" t="s">
        <v>814</v>
      </c>
      <c r="E5">
        <v>1</v>
      </c>
      <c r="F5" t="s">
        <v>290</v>
      </c>
      <c r="G5" t="s">
        <v>77</v>
      </c>
      <c r="H5">
        <v>100</v>
      </c>
      <c r="I5" t="s">
        <v>812</v>
      </c>
      <c r="J5" t="b">
        <v>1</v>
      </c>
      <c r="K5" t="b">
        <v>1</v>
      </c>
      <c r="O5">
        <v>0</v>
      </c>
    </row>
    <row r="6" spans="1:15" x14ac:dyDescent="0.4">
      <c r="A6" t="s">
        <v>815</v>
      </c>
      <c r="B6" t="s">
        <v>151</v>
      </c>
      <c r="C6" t="s">
        <v>816</v>
      </c>
      <c r="E6">
        <v>1</v>
      </c>
      <c r="F6" t="s">
        <v>290</v>
      </c>
      <c r="G6" t="s">
        <v>76</v>
      </c>
      <c r="H6">
        <v>50</v>
      </c>
      <c r="J6" t="b">
        <v>1</v>
      </c>
      <c r="K6" t="b">
        <v>0</v>
      </c>
      <c r="O6">
        <v>0</v>
      </c>
    </row>
    <row r="7" spans="1:15" x14ac:dyDescent="0.4">
      <c r="A7" t="s">
        <v>817</v>
      </c>
      <c r="B7" t="s">
        <v>151</v>
      </c>
      <c r="C7" t="s">
        <v>818</v>
      </c>
      <c r="E7">
        <v>1</v>
      </c>
      <c r="F7" t="s">
        <v>290</v>
      </c>
      <c r="G7" t="s">
        <v>76</v>
      </c>
      <c r="H7">
        <v>50</v>
      </c>
      <c r="J7" t="b">
        <v>1</v>
      </c>
      <c r="K7" t="b">
        <v>0</v>
      </c>
      <c r="O7">
        <v>0</v>
      </c>
    </row>
    <row r="8" spans="1:15" x14ac:dyDescent="0.4">
      <c r="A8" t="s">
        <v>819</v>
      </c>
      <c r="B8" t="s">
        <v>151</v>
      </c>
      <c r="C8" t="s">
        <v>820</v>
      </c>
      <c r="D8" t="s">
        <v>821</v>
      </c>
      <c r="E8">
        <v>1</v>
      </c>
      <c r="F8" t="s">
        <v>290</v>
      </c>
      <c r="G8" t="s">
        <v>77</v>
      </c>
      <c r="H8">
        <v>100</v>
      </c>
      <c r="I8" t="s">
        <v>812</v>
      </c>
      <c r="J8" t="b">
        <v>1</v>
      </c>
      <c r="K8" t="b">
        <v>1</v>
      </c>
      <c r="O8">
        <v>0</v>
      </c>
    </row>
    <row r="9" spans="1:15" x14ac:dyDescent="0.4">
      <c r="A9" t="s">
        <v>822</v>
      </c>
      <c r="B9" t="s">
        <v>151</v>
      </c>
      <c r="C9" t="s">
        <v>823</v>
      </c>
      <c r="D9" t="s">
        <v>824</v>
      </c>
      <c r="E9">
        <v>1</v>
      </c>
      <c r="F9" t="s">
        <v>290</v>
      </c>
      <c r="G9" t="s">
        <v>76</v>
      </c>
      <c r="H9">
        <v>50</v>
      </c>
      <c r="J9" t="b">
        <v>1</v>
      </c>
      <c r="K9" t="b">
        <v>0</v>
      </c>
      <c r="O9">
        <v>0</v>
      </c>
    </row>
    <row r="10" spans="1:15" x14ac:dyDescent="0.4">
      <c r="A10" t="s">
        <v>825</v>
      </c>
      <c r="B10" t="s">
        <v>826</v>
      </c>
      <c r="C10" t="s">
        <v>827</v>
      </c>
      <c r="D10" t="s">
        <v>828</v>
      </c>
      <c r="E10">
        <v>1</v>
      </c>
      <c r="F10" t="s">
        <v>290</v>
      </c>
      <c r="G10" t="s">
        <v>76</v>
      </c>
      <c r="H10">
        <v>50</v>
      </c>
      <c r="J10" t="b">
        <v>1</v>
      </c>
      <c r="K10" t="b">
        <v>0</v>
      </c>
      <c r="O10">
        <v>0</v>
      </c>
    </row>
    <row r="11" spans="1:15" x14ac:dyDescent="0.4">
      <c r="A11" t="s">
        <v>829</v>
      </c>
      <c r="B11" t="s">
        <v>826</v>
      </c>
      <c r="C11" t="s">
        <v>830</v>
      </c>
      <c r="D11" t="s">
        <v>831</v>
      </c>
      <c r="E11">
        <v>1</v>
      </c>
      <c r="F11" t="s">
        <v>290</v>
      </c>
      <c r="G11" t="s">
        <v>76</v>
      </c>
      <c r="H11">
        <v>50</v>
      </c>
      <c r="J11" t="b">
        <v>1</v>
      </c>
      <c r="K11" t="b">
        <v>0</v>
      </c>
      <c r="O11">
        <v>0</v>
      </c>
    </row>
    <row r="12" spans="1:15" x14ac:dyDescent="0.4">
      <c r="A12" t="s">
        <v>832</v>
      </c>
      <c r="B12" t="s">
        <v>826</v>
      </c>
      <c r="C12" t="s">
        <v>833</v>
      </c>
      <c r="D12" t="s">
        <v>834</v>
      </c>
      <c r="E12">
        <v>1</v>
      </c>
      <c r="F12" t="s">
        <v>290</v>
      </c>
      <c r="G12" t="s">
        <v>76</v>
      </c>
      <c r="H12">
        <v>50</v>
      </c>
      <c r="J12" t="b">
        <v>1</v>
      </c>
      <c r="K12" t="b">
        <v>0</v>
      </c>
      <c r="O12">
        <v>0</v>
      </c>
    </row>
    <row r="13" spans="1:15" x14ac:dyDescent="0.4">
      <c r="A13" t="s">
        <v>835</v>
      </c>
      <c r="B13" t="s">
        <v>826</v>
      </c>
      <c r="C13" t="s">
        <v>836</v>
      </c>
      <c r="D13" t="s">
        <v>837</v>
      </c>
      <c r="E13">
        <v>1</v>
      </c>
      <c r="F13" t="s">
        <v>290</v>
      </c>
      <c r="G13" t="s">
        <v>76</v>
      </c>
      <c r="H13">
        <v>50</v>
      </c>
      <c r="J13" t="b">
        <v>1</v>
      </c>
      <c r="K13" t="b">
        <v>0</v>
      </c>
      <c r="O13">
        <v>0</v>
      </c>
    </row>
    <row r="14" spans="1:15" x14ac:dyDescent="0.4">
      <c r="A14" t="s">
        <v>838</v>
      </c>
      <c r="B14" t="s">
        <v>826</v>
      </c>
      <c r="C14" t="s">
        <v>839</v>
      </c>
      <c r="D14" t="s">
        <v>840</v>
      </c>
      <c r="E14">
        <v>1</v>
      </c>
      <c r="F14" t="s">
        <v>290</v>
      </c>
      <c r="G14" t="s">
        <v>76</v>
      </c>
      <c r="H14">
        <v>50</v>
      </c>
      <c r="J14" t="b">
        <v>1</v>
      </c>
      <c r="K14" t="b">
        <v>0</v>
      </c>
      <c r="O14">
        <v>0</v>
      </c>
    </row>
    <row r="15" spans="1:15" x14ac:dyDescent="0.4">
      <c r="A15" t="s">
        <v>841</v>
      </c>
      <c r="B15" t="s">
        <v>826</v>
      </c>
      <c r="C15" t="s">
        <v>842</v>
      </c>
      <c r="D15" t="s">
        <v>843</v>
      </c>
      <c r="E15">
        <v>1</v>
      </c>
      <c r="F15" t="s">
        <v>290</v>
      </c>
      <c r="G15" t="s">
        <v>76</v>
      </c>
      <c r="H15">
        <v>50</v>
      </c>
      <c r="J15" t="b">
        <v>1</v>
      </c>
      <c r="K15" t="b">
        <v>0</v>
      </c>
      <c r="O15">
        <v>0</v>
      </c>
    </row>
    <row r="16" spans="1:15" x14ac:dyDescent="0.4">
      <c r="A16" t="s">
        <v>844</v>
      </c>
      <c r="B16" t="s">
        <v>845</v>
      </c>
      <c r="C16" t="s">
        <v>435</v>
      </c>
      <c r="D16" t="s">
        <v>846</v>
      </c>
      <c r="E16">
        <v>1</v>
      </c>
      <c r="F16" t="s">
        <v>290</v>
      </c>
      <c r="G16" t="s">
        <v>76</v>
      </c>
      <c r="H16">
        <v>50</v>
      </c>
      <c r="J16" t="b">
        <v>1</v>
      </c>
      <c r="K16" t="b">
        <v>0</v>
      </c>
      <c r="O16">
        <v>0</v>
      </c>
    </row>
    <row r="17" spans="1:15" x14ac:dyDescent="0.4">
      <c r="A17" t="s">
        <v>847</v>
      </c>
      <c r="B17" t="s">
        <v>845</v>
      </c>
      <c r="C17" t="s">
        <v>848</v>
      </c>
      <c r="D17" t="s">
        <v>849</v>
      </c>
      <c r="E17">
        <v>1</v>
      </c>
      <c r="F17" t="s">
        <v>290</v>
      </c>
      <c r="G17" t="s">
        <v>76</v>
      </c>
      <c r="H17">
        <v>50</v>
      </c>
      <c r="J17" t="b">
        <v>1</v>
      </c>
      <c r="K17" t="b">
        <v>0</v>
      </c>
      <c r="O17">
        <v>0</v>
      </c>
    </row>
    <row r="18" spans="1:15" x14ac:dyDescent="0.4">
      <c r="A18" t="s">
        <v>850</v>
      </c>
      <c r="B18" t="s">
        <v>845</v>
      </c>
      <c r="C18" t="s">
        <v>851</v>
      </c>
      <c r="D18" t="s">
        <v>852</v>
      </c>
      <c r="E18">
        <v>1</v>
      </c>
      <c r="F18" t="s">
        <v>290</v>
      </c>
      <c r="G18" t="s">
        <v>76</v>
      </c>
      <c r="H18">
        <v>50</v>
      </c>
      <c r="J18" t="b">
        <v>1</v>
      </c>
      <c r="K18" t="b">
        <v>0</v>
      </c>
      <c r="O18">
        <v>0</v>
      </c>
    </row>
    <row r="19" spans="1:15" x14ac:dyDescent="0.4">
      <c r="A19" t="s">
        <v>853</v>
      </c>
      <c r="B19" t="s">
        <v>845</v>
      </c>
      <c r="C19" t="s">
        <v>854</v>
      </c>
      <c r="D19" t="s">
        <v>855</v>
      </c>
      <c r="E19">
        <v>1</v>
      </c>
      <c r="F19" t="s">
        <v>290</v>
      </c>
      <c r="G19" t="s">
        <v>76</v>
      </c>
      <c r="H19">
        <v>50</v>
      </c>
      <c r="J19" t="b">
        <v>1</v>
      </c>
      <c r="K19" t="b">
        <v>0</v>
      </c>
      <c r="O19">
        <v>0</v>
      </c>
    </row>
    <row r="20" spans="1:15" x14ac:dyDescent="0.4">
      <c r="A20" t="s">
        <v>856</v>
      </c>
      <c r="B20" t="s">
        <v>845</v>
      </c>
      <c r="C20" t="s">
        <v>857</v>
      </c>
      <c r="E20">
        <v>1</v>
      </c>
      <c r="F20" t="s">
        <v>55</v>
      </c>
      <c r="G20" t="s">
        <v>76</v>
      </c>
      <c r="H20">
        <v>50</v>
      </c>
      <c r="J20" t="b">
        <v>1</v>
      </c>
      <c r="K20" t="b">
        <v>0</v>
      </c>
      <c r="O20">
        <v>0</v>
      </c>
    </row>
    <row r="21" spans="1:15" x14ac:dyDescent="0.4">
      <c r="A21" t="s">
        <v>858</v>
      </c>
      <c r="B21" t="s">
        <v>845</v>
      </c>
      <c r="C21" t="s">
        <v>859</v>
      </c>
      <c r="E21">
        <v>1</v>
      </c>
      <c r="F21" t="s">
        <v>55</v>
      </c>
      <c r="G21" t="s">
        <v>76</v>
      </c>
      <c r="H21">
        <v>50</v>
      </c>
      <c r="J21" t="b">
        <v>1</v>
      </c>
      <c r="K21" t="b">
        <v>0</v>
      </c>
      <c r="O21">
        <v>0</v>
      </c>
    </row>
    <row r="22" spans="1:15" x14ac:dyDescent="0.4">
      <c r="A22" t="s">
        <v>860</v>
      </c>
      <c r="B22" t="s">
        <v>861</v>
      </c>
      <c r="C22" t="s">
        <v>862</v>
      </c>
      <c r="E22">
        <v>1</v>
      </c>
      <c r="F22" t="s">
        <v>55</v>
      </c>
      <c r="G22" t="s">
        <v>75</v>
      </c>
      <c r="H22">
        <v>0</v>
      </c>
      <c r="J22" t="b">
        <v>0</v>
      </c>
      <c r="K22" t="b">
        <v>0</v>
      </c>
      <c r="O22">
        <v>0</v>
      </c>
    </row>
    <row r="23" spans="1:15" x14ac:dyDescent="0.4">
      <c r="A23" t="s">
        <v>863</v>
      </c>
      <c r="B23" t="s">
        <v>861</v>
      </c>
      <c r="C23" t="s">
        <v>864</v>
      </c>
      <c r="E23">
        <v>1</v>
      </c>
      <c r="F23" t="s">
        <v>55</v>
      </c>
      <c r="G23" t="s">
        <v>75</v>
      </c>
      <c r="H23">
        <v>0</v>
      </c>
      <c r="J23" t="b">
        <v>0</v>
      </c>
      <c r="K23" t="b">
        <v>0</v>
      </c>
      <c r="O23">
        <v>0</v>
      </c>
    </row>
    <row r="24" spans="1:15" x14ac:dyDescent="0.4">
      <c r="A24" t="s">
        <v>865</v>
      </c>
      <c r="B24" t="s">
        <v>151</v>
      </c>
      <c r="C24" t="s">
        <v>866</v>
      </c>
      <c r="E24">
        <v>1</v>
      </c>
      <c r="F24" t="s">
        <v>55</v>
      </c>
      <c r="G24" t="s">
        <v>75</v>
      </c>
      <c r="H24">
        <v>0</v>
      </c>
      <c r="J24" t="b">
        <v>0</v>
      </c>
      <c r="K24" t="b">
        <v>0</v>
      </c>
      <c r="O24">
        <v>0</v>
      </c>
    </row>
    <row r="25" spans="1:15" x14ac:dyDescent="0.4">
      <c r="A25" t="s">
        <v>867</v>
      </c>
      <c r="B25" t="s">
        <v>151</v>
      </c>
      <c r="C25" t="s">
        <v>868</v>
      </c>
      <c r="D25" t="s">
        <v>869</v>
      </c>
      <c r="E25">
        <v>1</v>
      </c>
      <c r="F25" t="s">
        <v>55</v>
      </c>
      <c r="G25" t="s">
        <v>76</v>
      </c>
      <c r="H25">
        <v>50</v>
      </c>
      <c r="J25" t="b">
        <v>1</v>
      </c>
      <c r="K25" t="b">
        <v>0</v>
      </c>
      <c r="O25">
        <v>0</v>
      </c>
    </row>
    <row r="26" spans="1:15" x14ac:dyDescent="0.4">
      <c r="A26" t="s">
        <v>870</v>
      </c>
      <c r="B26" t="s">
        <v>151</v>
      </c>
      <c r="C26" t="s">
        <v>871</v>
      </c>
      <c r="D26" t="s">
        <v>872</v>
      </c>
      <c r="E26">
        <v>1</v>
      </c>
      <c r="F26" t="s">
        <v>55</v>
      </c>
      <c r="G26" t="s">
        <v>76</v>
      </c>
      <c r="H26">
        <v>50</v>
      </c>
      <c r="J26" t="b">
        <v>1</v>
      </c>
      <c r="K26" t="b">
        <v>0</v>
      </c>
      <c r="O26">
        <v>0</v>
      </c>
    </row>
    <row r="27" spans="1:15" x14ac:dyDescent="0.4">
      <c r="A27" t="s">
        <v>873</v>
      </c>
      <c r="B27" t="s">
        <v>151</v>
      </c>
      <c r="C27" t="s">
        <v>874</v>
      </c>
      <c r="D27" t="s">
        <v>875</v>
      </c>
      <c r="E27">
        <v>1</v>
      </c>
      <c r="F27" t="s">
        <v>55</v>
      </c>
      <c r="G27" t="s">
        <v>76</v>
      </c>
      <c r="H27">
        <v>50</v>
      </c>
      <c r="J27" t="b">
        <v>1</v>
      </c>
      <c r="K27" t="b">
        <v>0</v>
      </c>
      <c r="O27">
        <v>0</v>
      </c>
    </row>
    <row r="28" spans="1:15" x14ac:dyDescent="0.4">
      <c r="A28" t="s">
        <v>876</v>
      </c>
      <c r="B28" t="s">
        <v>151</v>
      </c>
      <c r="C28" t="s">
        <v>877</v>
      </c>
      <c r="D28" t="s">
        <v>878</v>
      </c>
      <c r="E28">
        <v>1</v>
      </c>
      <c r="F28" t="s">
        <v>55</v>
      </c>
      <c r="G28" t="s">
        <v>76</v>
      </c>
      <c r="H28">
        <v>50</v>
      </c>
      <c r="J28" t="b">
        <v>1</v>
      </c>
      <c r="K28" t="b">
        <v>0</v>
      </c>
      <c r="O28">
        <v>0</v>
      </c>
    </row>
    <row r="29" spans="1:15" x14ac:dyDescent="0.4">
      <c r="A29" t="s">
        <v>879</v>
      </c>
      <c r="B29" t="s">
        <v>151</v>
      </c>
      <c r="C29" t="s">
        <v>880</v>
      </c>
      <c r="D29" t="s">
        <v>881</v>
      </c>
      <c r="E29">
        <v>1</v>
      </c>
      <c r="F29" t="s">
        <v>55</v>
      </c>
      <c r="G29" t="s">
        <v>76</v>
      </c>
      <c r="H29">
        <v>50</v>
      </c>
      <c r="J29" t="b">
        <v>1</v>
      </c>
      <c r="K29" t="b">
        <v>0</v>
      </c>
      <c r="O29">
        <v>0</v>
      </c>
    </row>
    <row r="30" spans="1:15" x14ac:dyDescent="0.4">
      <c r="A30" t="s">
        <v>882</v>
      </c>
      <c r="B30" t="s">
        <v>151</v>
      </c>
      <c r="C30" t="s">
        <v>883</v>
      </c>
      <c r="D30" t="s">
        <v>884</v>
      </c>
      <c r="E30">
        <v>1</v>
      </c>
      <c r="F30" t="s">
        <v>55</v>
      </c>
      <c r="G30" t="s">
        <v>75</v>
      </c>
      <c r="H30">
        <v>0</v>
      </c>
      <c r="J30" t="b">
        <v>0</v>
      </c>
      <c r="K30" t="b">
        <v>0</v>
      </c>
      <c r="O30">
        <v>0</v>
      </c>
    </row>
    <row r="31" spans="1:15" x14ac:dyDescent="0.4">
      <c r="A31" t="s">
        <v>885</v>
      </c>
      <c r="B31" t="s">
        <v>151</v>
      </c>
      <c r="C31" t="s">
        <v>886</v>
      </c>
      <c r="D31" t="s">
        <v>887</v>
      </c>
      <c r="E31">
        <v>1</v>
      </c>
      <c r="F31" t="s">
        <v>55</v>
      </c>
      <c r="G31" t="s">
        <v>75</v>
      </c>
      <c r="H31">
        <v>0</v>
      </c>
      <c r="J31" t="b">
        <v>0</v>
      </c>
      <c r="K31" t="b">
        <v>0</v>
      </c>
      <c r="O31">
        <v>0</v>
      </c>
    </row>
    <row r="32" spans="1:15" x14ac:dyDescent="0.4">
      <c r="A32" t="s">
        <v>888</v>
      </c>
      <c r="B32" t="s">
        <v>151</v>
      </c>
      <c r="C32" t="s">
        <v>889</v>
      </c>
      <c r="D32" t="s">
        <v>890</v>
      </c>
      <c r="E32">
        <v>1</v>
      </c>
      <c r="F32" t="s">
        <v>55</v>
      </c>
      <c r="G32" t="s">
        <v>75</v>
      </c>
      <c r="H32">
        <v>0</v>
      </c>
      <c r="J32" t="b">
        <v>0</v>
      </c>
      <c r="K32" t="b">
        <v>0</v>
      </c>
      <c r="O32">
        <v>0</v>
      </c>
    </row>
    <row r="33" spans="1:15" x14ac:dyDescent="0.4">
      <c r="A33" t="s">
        <v>891</v>
      </c>
      <c r="B33" t="s">
        <v>151</v>
      </c>
      <c r="C33" t="s">
        <v>631</v>
      </c>
      <c r="D33" t="s">
        <v>892</v>
      </c>
      <c r="E33">
        <v>1</v>
      </c>
      <c r="F33" t="s">
        <v>55</v>
      </c>
      <c r="G33" t="s">
        <v>75</v>
      </c>
      <c r="H33">
        <v>0</v>
      </c>
      <c r="J33" t="b">
        <v>0</v>
      </c>
      <c r="K33" t="b">
        <v>0</v>
      </c>
      <c r="O33">
        <v>0</v>
      </c>
    </row>
    <row r="34" spans="1:15" x14ac:dyDescent="0.4">
      <c r="A34" t="s">
        <v>893</v>
      </c>
      <c r="B34" t="s">
        <v>151</v>
      </c>
      <c r="C34" t="s">
        <v>894</v>
      </c>
      <c r="E34">
        <v>1</v>
      </c>
      <c r="F34" t="s">
        <v>55</v>
      </c>
      <c r="G34" t="s">
        <v>75</v>
      </c>
      <c r="H34">
        <v>0</v>
      </c>
      <c r="J34" t="b">
        <v>0</v>
      </c>
      <c r="K34" t="b">
        <v>0</v>
      </c>
      <c r="O34">
        <v>0</v>
      </c>
    </row>
    <row r="35" spans="1:15" x14ac:dyDescent="0.4">
      <c r="A35" t="s">
        <v>895</v>
      </c>
      <c r="B35" t="s">
        <v>151</v>
      </c>
      <c r="C35" t="s">
        <v>896</v>
      </c>
      <c r="D35" t="s">
        <v>897</v>
      </c>
      <c r="E35">
        <v>1</v>
      </c>
      <c r="F35" t="s">
        <v>55</v>
      </c>
      <c r="G35" t="s">
        <v>75</v>
      </c>
      <c r="H35">
        <v>0</v>
      </c>
      <c r="J35" t="b">
        <v>0</v>
      </c>
      <c r="K35" t="b">
        <v>0</v>
      </c>
      <c r="O35">
        <v>0</v>
      </c>
    </row>
    <row r="36" spans="1:15" x14ac:dyDescent="0.4">
      <c r="A36" t="s">
        <v>898</v>
      </c>
      <c r="B36" t="s">
        <v>151</v>
      </c>
      <c r="C36" t="s">
        <v>899</v>
      </c>
      <c r="D36" t="s">
        <v>900</v>
      </c>
      <c r="E36">
        <v>1</v>
      </c>
      <c r="F36" t="s">
        <v>55</v>
      </c>
      <c r="G36" t="s">
        <v>75</v>
      </c>
      <c r="H36">
        <v>0</v>
      </c>
      <c r="J36" t="b">
        <v>0</v>
      </c>
      <c r="K36" t="b">
        <v>0</v>
      </c>
      <c r="O36">
        <v>0</v>
      </c>
    </row>
    <row r="37" spans="1:15" x14ac:dyDescent="0.4">
      <c r="A37" t="s">
        <v>901</v>
      </c>
      <c r="B37" t="s">
        <v>151</v>
      </c>
      <c r="C37" t="s">
        <v>902</v>
      </c>
      <c r="D37" t="s">
        <v>903</v>
      </c>
      <c r="E37">
        <v>1</v>
      </c>
      <c r="F37" t="s">
        <v>55</v>
      </c>
      <c r="G37" t="s">
        <v>75</v>
      </c>
      <c r="H37">
        <v>0</v>
      </c>
      <c r="J37" t="b">
        <v>0</v>
      </c>
      <c r="K37" t="b">
        <v>0</v>
      </c>
      <c r="O37">
        <v>0</v>
      </c>
    </row>
    <row r="38" spans="1:15" x14ac:dyDescent="0.4">
      <c r="A38" t="s">
        <v>904</v>
      </c>
      <c r="B38" t="s">
        <v>151</v>
      </c>
      <c r="C38" t="s">
        <v>905</v>
      </c>
      <c r="D38" t="s">
        <v>906</v>
      </c>
      <c r="E38">
        <v>1</v>
      </c>
      <c r="F38" t="s">
        <v>55</v>
      </c>
      <c r="G38" t="s">
        <v>75</v>
      </c>
      <c r="H38">
        <v>0</v>
      </c>
      <c r="J38" t="b">
        <v>0</v>
      </c>
      <c r="K38" t="b">
        <v>0</v>
      </c>
      <c r="O38">
        <v>0</v>
      </c>
    </row>
    <row r="39" spans="1:15" x14ac:dyDescent="0.4">
      <c r="A39" t="s">
        <v>907</v>
      </c>
      <c r="B39" t="s">
        <v>151</v>
      </c>
      <c r="C39" t="s">
        <v>655</v>
      </c>
      <c r="E39">
        <v>1</v>
      </c>
      <c r="F39" t="s">
        <v>55</v>
      </c>
      <c r="G39" t="s">
        <v>75</v>
      </c>
      <c r="H39">
        <v>0</v>
      </c>
      <c r="J39" t="b">
        <v>0</v>
      </c>
      <c r="K39" t="b">
        <v>0</v>
      </c>
      <c r="O39">
        <v>0</v>
      </c>
    </row>
    <row r="40" spans="1:15" x14ac:dyDescent="0.4">
      <c r="A40" t="s">
        <v>908</v>
      </c>
      <c r="B40" t="s">
        <v>151</v>
      </c>
      <c r="C40" t="s">
        <v>656</v>
      </c>
      <c r="E40">
        <v>1</v>
      </c>
      <c r="F40" t="s">
        <v>55</v>
      </c>
      <c r="G40" t="s">
        <v>75</v>
      </c>
      <c r="H40">
        <v>0</v>
      </c>
      <c r="J40" t="b">
        <v>0</v>
      </c>
      <c r="K40" t="b">
        <v>0</v>
      </c>
      <c r="O40">
        <v>0</v>
      </c>
    </row>
    <row r="41" spans="1:15" x14ac:dyDescent="0.4">
      <c r="A41" t="s">
        <v>909</v>
      </c>
      <c r="B41" t="s">
        <v>151</v>
      </c>
      <c r="C41" t="s">
        <v>889</v>
      </c>
      <c r="D41" t="s">
        <v>890</v>
      </c>
      <c r="E41">
        <v>1</v>
      </c>
      <c r="F41" t="s">
        <v>55</v>
      </c>
      <c r="G41" t="s">
        <v>75</v>
      </c>
      <c r="H41">
        <v>0</v>
      </c>
      <c r="J41" t="b">
        <v>0</v>
      </c>
      <c r="K41" t="b">
        <v>0</v>
      </c>
      <c r="O41">
        <v>0</v>
      </c>
    </row>
    <row r="42" spans="1:15" x14ac:dyDescent="0.4">
      <c r="A42" t="s">
        <v>910</v>
      </c>
      <c r="B42" t="s">
        <v>151</v>
      </c>
      <c r="C42" t="s">
        <v>631</v>
      </c>
      <c r="D42" t="s">
        <v>892</v>
      </c>
      <c r="E42">
        <v>1</v>
      </c>
      <c r="F42" t="s">
        <v>55</v>
      </c>
      <c r="G42" t="s">
        <v>75</v>
      </c>
      <c r="H42">
        <v>0</v>
      </c>
      <c r="J42" t="b">
        <v>0</v>
      </c>
      <c r="K42" t="b">
        <v>0</v>
      </c>
      <c r="O42">
        <v>0</v>
      </c>
    </row>
    <row r="43" spans="1:15" x14ac:dyDescent="0.4">
      <c r="A43" t="s">
        <v>911</v>
      </c>
      <c r="B43" t="s">
        <v>151</v>
      </c>
      <c r="C43" t="s">
        <v>912</v>
      </c>
      <c r="E43">
        <v>1</v>
      </c>
      <c r="F43" t="s">
        <v>55</v>
      </c>
      <c r="G43" t="s">
        <v>76</v>
      </c>
      <c r="H43">
        <v>50</v>
      </c>
      <c r="J43" t="b">
        <v>1</v>
      </c>
      <c r="K43" t="b">
        <v>0</v>
      </c>
      <c r="O43">
        <v>0</v>
      </c>
    </row>
    <row r="44" spans="1:15" x14ac:dyDescent="0.4">
      <c r="A44" t="s">
        <v>913</v>
      </c>
      <c r="B44" t="s">
        <v>151</v>
      </c>
      <c r="C44" t="s">
        <v>914</v>
      </c>
      <c r="E44">
        <v>1</v>
      </c>
      <c r="F44" t="s">
        <v>55</v>
      </c>
      <c r="G44" t="s">
        <v>76</v>
      </c>
      <c r="H44">
        <v>50</v>
      </c>
      <c r="J44" t="b">
        <v>1</v>
      </c>
      <c r="K44" t="b">
        <v>0</v>
      </c>
      <c r="O44">
        <v>0</v>
      </c>
    </row>
    <row r="45" spans="1:15" x14ac:dyDescent="0.4">
      <c r="A45" t="s">
        <v>915</v>
      </c>
      <c r="B45" t="s">
        <v>916</v>
      </c>
      <c r="C45" t="s">
        <v>917</v>
      </c>
      <c r="E45">
        <v>1</v>
      </c>
      <c r="F45" t="s">
        <v>55</v>
      </c>
      <c r="G45" t="s">
        <v>75</v>
      </c>
      <c r="H45">
        <v>0</v>
      </c>
      <c r="J45" t="b">
        <v>0</v>
      </c>
      <c r="K45" t="b">
        <v>0</v>
      </c>
      <c r="O45">
        <v>0</v>
      </c>
    </row>
    <row r="46" spans="1:15" x14ac:dyDescent="0.4">
      <c r="A46" t="s">
        <v>918</v>
      </c>
      <c r="B46" t="s">
        <v>916</v>
      </c>
      <c r="C46" t="s">
        <v>919</v>
      </c>
      <c r="E46">
        <v>1</v>
      </c>
      <c r="F46" t="s">
        <v>55</v>
      </c>
      <c r="G46" t="s">
        <v>75</v>
      </c>
      <c r="H46">
        <v>0</v>
      </c>
      <c r="J46" t="b">
        <v>0</v>
      </c>
      <c r="K46" t="b">
        <v>0</v>
      </c>
      <c r="O46">
        <v>0</v>
      </c>
    </row>
    <row r="47" spans="1:15" x14ac:dyDescent="0.4">
      <c r="A47" t="s">
        <v>920</v>
      </c>
      <c r="B47" t="s">
        <v>916</v>
      </c>
      <c r="C47" t="s">
        <v>921</v>
      </c>
      <c r="E47">
        <v>1</v>
      </c>
      <c r="F47" t="s">
        <v>55</v>
      </c>
      <c r="G47" t="s">
        <v>75</v>
      </c>
      <c r="H47">
        <v>0</v>
      </c>
      <c r="J47" t="b">
        <v>0</v>
      </c>
      <c r="K47" t="b">
        <v>0</v>
      </c>
      <c r="O47">
        <v>0</v>
      </c>
    </row>
    <row r="48" spans="1:15" x14ac:dyDescent="0.4">
      <c r="A48" t="s">
        <v>922</v>
      </c>
      <c r="B48" t="s">
        <v>916</v>
      </c>
      <c r="C48" t="s">
        <v>923</v>
      </c>
      <c r="E48">
        <v>1</v>
      </c>
      <c r="F48" t="s">
        <v>55</v>
      </c>
      <c r="G48" t="s">
        <v>75</v>
      </c>
      <c r="H48">
        <v>0</v>
      </c>
      <c r="J48" t="b">
        <v>0</v>
      </c>
      <c r="K48" t="b">
        <v>0</v>
      </c>
      <c r="O48">
        <v>0</v>
      </c>
    </row>
    <row r="49" spans="1:15" x14ac:dyDescent="0.4">
      <c r="A49" t="s">
        <v>924</v>
      </c>
      <c r="B49" t="s">
        <v>916</v>
      </c>
      <c r="C49" t="s">
        <v>925</v>
      </c>
      <c r="E49">
        <v>1</v>
      </c>
      <c r="F49" t="s">
        <v>55</v>
      </c>
      <c r="G49" t="s">
        <v>75</v>
      </c>
      <c r="H49">
        <v>0</v>
      </c>
      <c r="J49" t="b">
        <v>0</v>
      </c>
      <c r="K49" t="b">
        <v>0</v>
      </c>
      <c r="O49">
        <v>0</v>
      </c>
    </row>
    <row r="50" spans="1:15" x14ac:dyDescent="0.4">
      <c r="A50" t="s">
        <v>926</v>
      </c>
      <c r="B50" t="s">
        <v>916</v>
      </c>
      <c r="C50" t="s">
        <v>927</v>
      </c>
      <c r="E50">
        <v>1</v>
      </c>
      <c r="F50" t="s">
        <v>55</v>
      </c>
      <c r="G50" t="s">
        <v>75</v>
      </c>
      <c r="H50">
        <v>0</v>
      </c>
      <c r="J50" t="b">
        <v>0</v>
      </c>
      <c r="K50" t="b">
        <v>0</v>
      </c>
      <c r="O50">
        <v>0</v>
      </c>
    </row>
    <row r="51" spans="1:15" x14ac:dyDescent="0.4">
      <c r="A51" t="s">
        <v>928</v>
      </c>
      <c r="B51" t="s">
        <v>861</v>
      </c>
      <c r="C51" t="s">
        <v>929</v>
      </c>
      <c r="E51">
        <v>1</v>
      </c>
      <c r="F51" t="s">
        <v>55</v>
      </c>
      <c r="G51" t="s">
        <v>75</v>
      </c>
      <c r="H51">
        <v>0</v>
      </c>
      <c r="J51" t="b">
        <v>0</v>
      </c>
      <c r="K51" t="b">
        <v>0</v>
      </c>
      <c r="O51">
        <v>0</v>
      </c>
    </row>
    <row r="52" spans="1:15" x14ac:dyDescent="0.4">
      <c r="A52" t="s">
        <v>930</v>
      </c>
      <c r="B52" t="s">
        <v>861</v>
      </c>
      <c r="C52" t="s">
        <v>931</v>
      </c>
      <c r="E52">
        <v>1</v>
      </c>
      <c r="F52" t="s">
        <v>55</v>
      </c>
      <c r="G52" t="s">
        <v>76</v>
      </c>
      <c r="H52">
        <v>50</v>
      </c>
      <c r="J52" t="b">
        <v>1</v>
      </c>
      <c r="K52" t="b">
        <v>0</v>
      </c>
      <c r="O52">
        <v>0</v>
      </c>
    </row>
    <row r="53" spans="1:15" x14ac:dyDescent="0.4">
      <c r="A53" t="s">
        <v>932</v>
      </c>
      <c r="B53" t="s">
        <v>933</v>
      </c>
      <c r="C53" t="s">
        <v>934</v>
      </c>
      <c r="E53">
        <v>1</v>
      </c>
      <c r="F53" t="s">
        <v>55</v>
      </c>
      <c r="G53" t="s">
        <v>76</v>
      </c>
      <c r="H53">
        <v>50</v>
      </c>
      <c r="J53" t="b">
        <v>1</v>
      </c>
      <c r="K53" t="b">
        <v>0</v>
      </c>
      <c r="O53">
        <v>0</v>
      </c>
    </row>
    <row r="54" spans="1:15" x14ac:dyDescent="0.4">
      <c r="A54" t="s">
        <v>935</v>
      </c>
      <c r="B54" t="s">
        <v>933</v>
      </c>
      <c r="C54" t="s">
        <v>936</v>
      </c>
      <c r="E54">
        <v>1</v>
      </c>
      <c r="F54" t="s">
        <v>55</v>
      </c>
      <c r="G54" t="s">
        <v>76</v>
      </c>
      <c r="H54">
        <v>50</v>
      </c>
      <c r="J54" t="b">
        <v>1</v>
      </c>
      <c r="K54" t="b">
        <v>0</v>
      </c>
      <c r="O54">
        <v>0</v>
      </c>
    </row>
    <row r="55" spans="1:15" x14ac:dyDescent="0.4">
      <c r="A55" t="s">
        <v>937</v>
      </c>
      <c r="B55" t="s">
        <v>845</v>
      </c>
      <c r="C55" t="s">
        <v>938</v>
      </c>
      <c r="D55" t="s">
        <v>939</v>
      </c>
      <c r="E55">
        <v>1</v>
      </c>
      <c r="F55" t="s">
        <v>55</v>
      </c>
      <c r="G55" t="s">
        <v>75</v>
      </c>
      <c r="H55">
        <v>0</v>
      </c>
      <c r="J55" t="b">
        <v>0</v>
      </c>
      <c r="K55" t="b">
        <v>0</v>
      </c>
      <c r="O55">
        <v>0</v>
      </c>
    </row>
    <row r="56" spans="1:15" x14ac:dyDescent="0.4">
      <c r="A56" t="s">
        <v>940</v>
      </c>
      <c r="B56" t="s">
        <v>845</v>
      </c>
      <c r="C56" t="s">
        <v>941</v>
      </c>
      <c r="D56" t="s">
        <v>942</v>
      </c>
      <c r="E56">
        <v>1</v>
      </c>
      <c r="F56" t="s">
        <v>55</v>
      </c>
      <c r="G56" t="s">
        <v>75</v>
      </c>
      <c r="H56">
        <v>0</v>
      </c>
      <c r="J56" t="b">
        <v>0</v>
      </c>
      <c r="K56" t="b">
        <v>0</v>
      </c>
      <c r="O56">
        <v>0</v>
      </c>
    </row>
    <row r="57" spans="1:15" x14ac:dyDescent="0.4">
      <c r="A57" t="s">
        <v>943</v>
      </c>
      <c r="B57" t="s">
        <v>845</v>
      </c>
      <c r="C57" t="s">
        <v>944</v>
      </c>
      <c r="D57" t="s">
        <v>945</v>
      </c>
      <c r="E57">
        <v>1</v>
      </c>
      <c r="F57" t="s">
        <v>55</v>
      </c>
      <c r="G57" t="s">
        <v>75</v>
      </c>
      <c r="H57">
        <v>0</v>
      </c>
      <c r="J57" t="b">
        <v>0</v>
      </c>
      <c r="K57" t="b">
        <v>0</v>
      </c>
      <c r="O57">
        <v>0</v>
      </c>
    </row>
    <row r="58" spans="1:15" x14ac:dyDescent="0.4">
      <c r="A58" t="s">
        <v>946</v>
      </c>
      <c r="B58" t="s">
        <v>845</v>
      </c>
      <c r="C58" t="s">
        <v>947</v>
      </c>
      <c r="D58" t="s">
        <v>948</v>
      </c>
      <c r="E58">
        <v>1</v>
      </c>
      <c r="F58" t="s">
        <v>55</v>
      </c>
      <c r="G58" t="s">
        <v>75</v>
      </c>
      <c r="H58">
        <v>0</v>
      </c>
      <c r="J58" t="b">
        <v>0</v>
      </c>
      <c r="K58" t="b">
        <v>0</v>
      </c>
      <c r="O58">
        <v>0</v>
      </c>
    </row>
    <row r="59" spans="1:15" x14ac:dyDescent="0.4">
      <c r="A59" t="s">
        <v>949</v>
      </c>
      <c r="B59" t="s">
        <v>845</v>
      </c>
      <c r="C59" t="s">
        <v>950</v>
      </c>
      <c r="D59" t="s">
        <v>951</v>
      </c>
      <c r="E59">
        <v>1</v>
      </c>
      <c r="F59" t="s">
        <v>55</v>
      </c>
      <c r="G59" t="s">
        <v>75</v>
      </c>
      <c r="H59">
        <v>0</v>
      </c>
      <c r="J59" t="b">
        <v>0</v>
      </c>
      <c r="K59" t="b">
        <v>0</v>
      </c>
      <c r="O59">
        <v>0</v>
      </c>
    </row>
    <row r="60" spans="1:15" x14ac:dyDescent="0.4">
      <c r="A60" t="s">
        <v>952</v>
      </c>
      <c r="B60" t="s">
        <v>845</v>
      </c>
      <c r="C60" t="s">
        <v>953</v>
      </c>
      <c r="D60" t="s">
        <v>954</v>
      </c>
      <c r="E60">
        <v>1</v>
      </c>
      <c r="F60" t="s">
        <v>55</v>
      </c>
      <c r="G60" t="s">
        <v>75</v>
      </c>
      <c r="H60">
        <v>0</v>
      </c>
      <c r="J60" t="b">
        <v>0</v>
      </c>
      <c r="K60" t="b">
        <v>0</v>
      </c>
      <c r="O60">
        <v>0</v>
      </c>
    </row>
    <row r="61" spans="1:15" x14ac:dyDescent="0.4">
      <c r="A61" t="s">
        <v>955</v>
      </c>
      <c r="B61" t="s">
        <v>845</v>
      </c>
      <c r="C61" t="s">
        <v>956</v>
      </c>
      <c r="E61">
        <v>1</v>
      </c>
      <c r="F61" t="s">
        <v>55</v>
      </c>
      <c r="G61" t="s">
        <v>76</v>
      </c>
      <c r="H61">
        <v>50</v>
      </c>
      <c r="J61" t="b">
        <v>1</v>
      </c>
      <c r="K61" t="b">
        <v>0</v>
      </c>
      <c r="O61">
        <v>0</v>
      </c>
    </row>
    <row r="62" spans="1:15" x14ac:dyDescent="0.4">
      <c r="A62" t="s">
        <v>957</v>
      </c>
      <c r="B62" t="s">
        <v>845</v>
      </c>
      <c r="C62" t="s">
        <v>958</v>
      </c>
      <c r="E62">
        <v>1</v>
      </c>
      <c r="F62" t="s">
        <v>55</v>
      </c>
      <c r="G62" t="s">
        <v>75</v>
      </c>
      <c r="H62">
        <v>0</v>
      </c>
      <c r="J62" t="b">
        <v>0</v>
      </c>
      <c r="K62" t="b">
        <v>0</v>
      </c>
      <c r="O62">
        <v>0</v>
      </c>
    </row>
    <row r="63" spans="1:15" x14ac:dyDescent="0.4">
      <c r="A63" t="s">
        <v>959</v>
      </c>
      <c r="B63" t="s">
        <v>845</v>
      </c>
      <c r="C63" t="s">
        <v>565</v>
      </c>
      <c r="E63">
        <v>1</v>
      </c>
      <c r="F63" t="s">
        <v>55</v>
      </c>
      <c r="G63" t="s">
        <v>75</v>
      </c>
      <c r="H63">
        <v>0</v>
      </c>
      <c r="J63" t="b">
        <v>0</v>
      </c>
      <c r="K63" t="b">
        <v>0</v>
      </c>
      <c r="O63">
        <v>0</v>
      </c>
    </row>
    <row r="64" spans="1:15" x14ac:dyDescent="0.4">
      <c r="A64" t="s">
        <v>960</v>
      </c>
      <c r="B64" t="s">
        <v>845</v>
      </c>
      <c r="C64" t="s">
        <v>691</v>
      </c>
      <c r="D64" t="s">
        <v>961</v>
      </c>
      <c r="E64">
        <v>1</v>
      </c>
      <c r="F64" t="s">
        <v>55</v>
      </c>
      <c r="G64" t="s">
        <v>75</v>
      </c>
      <c r="H64">
        <v>0</v>
      </c>
      <c r="J64" t="b">
        <v>0</v>
      </c>
      <c r="K64" t="b">
        <v>0</v>
      </c>
      <c r="O64">
        <v>0</v>
      </c>
    </row>
    <row r="65" spans="1:15" x14ac:dyDescent="0.4">
      <c r="A65" t="s">
        <v>962</v>
      </c>
      <c r="B65" t="s">
        <v>845</v>
      </c>
      <c r="C65" t="s">
        <v>963</v>
      </c>
      <c r="D65" t="s">
        <v>961</v>
      </c>
      <c r="E65">
        <v>1</v>
      </c>
      <c r="F65" t="s">
        <v>55</v>
      </c>
      <c r="G65" t="s">
        <v>75</v>
      </c>
      <c r="H65">
        <v>0</v>
      </c>
      <c r="J65" t="b">
        <v>0</v>
      </c>
      <c r="K65" t="b">
        <v>0</v>
      </c>
      <c r="O65">
        <v>0</v>
      </c>
    </row>
    <row r="66" spans="1:15" x14ac:dyDescent="0.4">
      <c r="A66" t="s">
        <v>964</v>
      </c>
      <c r="B66" t="s">
        <v>845</v>
      </c>
      <c r="C66" t="s">
        <v>693</v>
      </c>
      <c r="D66" t="s">
        <v>965</v>
      </c>
      <c r="E66">
        <v>1</v>
      </c>
      <c r="F66" t="s">
        <v>55</v>
      </c>
      <c r="G66" t="s">
        <v>75</v>
      </c>
      <c r="H66">
        <v>0</v>
      </c>
      <c r="J66" t="b">
        <v>0</v>
      </c>
      <c r="K66" t="b">
        <v>0</v>
      </c>
      <c r="O66">
        <v>0</v>
      </c>
    </row>
    <row r="67" spans="1:15" x14ac:dyDescent="0.4">
      <c r="A67" t="s">
        <v>966</v>
      </c>
      <c r="B67" t="s">
        <v>845</v>
      </c>
      <c r="C67" t="s">
        <v>694</v>
      </c>
      <c r="D67" t="s">
        <v>967</v>
      </c>
      <c r="E67">
        <v>1</v>
      </c>
      <c r="F67" t="s">
        <v>55</v>
      </c>
      <c r="G67" t="s">
        <v>76</v>
      </c>
      <c r="H67">
        <v>50</v>
      </c>
      <c r="J67" t="b">
        <v>1</v>
      </c>
      <c r="K67" t="b">
        <v>0</v>
      </c>
      <c r="O67">
        <v>0</v>
      </c>
    </row>
    <row r="68" spans="1:15" x14ac:dyDescent="0.4">
      <c r="A68" t="s">
        <v>968</v>
      </c>
      <c r="B68" t="s">
        <v>845</v>
      </c>
      <c r="C68" t="s">
        <v>695</v>
      </c>
      <c r="D68" t="s">
        <v>969</v>
      </c>
      <c r="E68">
        <v>1</v>
      </c>
      <c r="F68" t="s">
        <v>55</v>
      </c>
      <c r="G68" t="s">
        <v>76</v>
      </c>
      <c r="H68">
        <v>50</v>
      </c>
      <c r="J68" t="b">
        <v>1</v>
      </c>
      <c r="K68" t="b">
        <v>0</v>
      </c>
      <c r="O68">
        <v>0</v>
      </c>
    </row>
    <row r="69" spans="1:15" x14ac:dyDescent="0.4">
      <c r="A69" t="s">
        <v>970</v>
      </c>
      <c r="B69" t="s">
        <v>845</v>
      </c>
      <c r="C69" t="s">
        <v>696</v>
      </c>
      <c r="D69" t="s">
        <v>971</v>
      </c>
      <c r="E69">
        <v>1</v>
      </c>
      <c r="F69" t="s">
        <v>55</v>
      </c>
      <c r="G69" t="s">
        <v>76</v>
      </c>
      <c r="H69">
        <v>50</v>
      </c>
      <c r="J69" t="b">
        <v>1</v>
      </c>
      <c r="K69" t="b">
        <v>0</v>
      </c>
      <c r="O69">
        <v>0</v>
      </c>
    </row>
    <row r="70" spans="1:15" x14ac:dyDescent="0.4">
      <c r="A70" t="s">
        <v>972</v>
      </c>
      <c r="B70" t="s">
        <v>845</v>
      </c>
      <c r="C70" t="s">
        <v>697</v>
      </c>
      <c r="D70" t="s">
        <v>973</v>
      </c>
      <c r="E70">
        <v>1</v>
      </c>
      <c r="F70" t="s">
        <v>55</v>
      </c>
      <c r="G70" t="s">
        <v>75</v>
      </c>
      <c r="H70">
        <v>0</v>
      </c>
      <c r="J70" t="b">
        <v>1</v>
      </c>
      <c r="K70" t="b">
        <v>0</v>
      </c>
      <c r="O70">
        <v>0</v>
      </c>
    </row>
    <row r="71" spans="1:15" x14ac:dyDescent="0.4">
      <c r="A71" t="s">
        <v>974</v>
      </c>
      <c r="B71" t="s">
        <v>845</v>
      </c>
      <c r="C71" t="s">
        <v>574</v>
      </c>
      <c r="E71">
        <v>1</v>
      </c>
      <c r="F71" t="s">
        <v>55</v>
      </c>
      <c r="G71" t="s">
        <v>75</v>
      </c>
      <c r="H71">
        <v>0</v>
      </c>
      <c r="J71" t="b">
        <v>0</v>
      </c>
      <c r="K71" t="b">
        <v>0</v>
      </c>
      <c r="O71">
        <v>0</v>
      </c>
    </row>
    <row r="72" spans="1:15" x14ac:dyDescent="0.4">
      <c r="A72" t="s">
        <v>975</v>
      </c>
      <c r="B72" t="s">
        <v>845</v>
      </c>
      <c r="C72" t="s">
        <v>573</v>
      </c>
      <c r="E72">
        <v>1</v>
      </c>
      <c r="F72" t="s">
        <v>55</v>
      </c>
      <c r="G72" t="s">
        <v>75</v>
      </c>
      <c r="H72">
        <v>0</v>
      </c>
      <c r="J72" t="b">
        <v>0</v>
      </c>
      <c r="K72" t="b">
        <v>0</v>
      </c>
      <c r="O72">
        <v>0</v>
      </c>
    </row>
    <row r="73" spans="1:15" x14ac:dyDescent="0.4">
      <c r="A73" t="s">
        <v>976</v>
      </c>
      <c r="B73" t="s">
        <v>845</v>
      </c>
      <c r="C73" t="s">
        <v>977</v>
      </c>
      <c r="E73">
        <v>1</v>
      </c>
      <c r="F73" t="s">
        <v>55</v>
      </c>
      <c r="G73" t="s">
        <v>75</v>
      </c>
      <c r="H73">
        <v>0</v>
      </c>
      <c r="J73" t="b">
        <v>0</v>
      </c>
      <c r="K73" t="b">
        <v>0</v>
      </c>
      <c r="O73">
        <v>0</v>
      </c>
    </row>
    <row r="74" spans="1:15" x14ac:dyDescent="0.4">
      <c r="A74" t="s">
        <v>978</v>
      </c>
      <c r="B74" t="s">
        <v>845</v>
      </c>
      <c r="C74" t="s">
        <v>979</v>
      </c>
      <c r="E74">
        <v>1</v>
      </c>
      <c r="F74" t="s">
        <v>55</v>
      </c>
      <c r="G74" t="s">
        <v>75</v>
      </c>
      <c r="H74">
        <v>0</v>
      </c>
      <c r="J74" t="b">
        <v>0</v>
      </c>
      <c r="K74" t="b">
        <v>0</v>
      </c>
      <c r="O74">
        <v>0</v>
      </c>
    </row>
    <row r="75" spans="1:15" x14ac:dyDescent="0.4">
      <c r="A75" t="s">
        <v>980</v>
      </c>
      <c r="B75" t="s">
        <v>845</v>
      </c>
      <c r="C75" t="s">
        <v>553</v>
      </c>
      <c r="E75">
        <v>1</v>
      </c>
      <c r="F75" t="s">
        <v>55</v>
      </c>
      <c r="G75" t="s">
        <v>75</v>
      </c>
      <c r="H75">
        <v>0</v>
      </c>
      <c r="J75" t="b">
        <v>0</v>
      </c>
      <c r="K75" t="b">
        <v>0</v>
      </c>
      <c r="O75">
        <v>0</v>
      </c>
    </row>
    <row r="76" spans="1:15" x14ac:dyDescent="0.4">
      <c r="A76" t="s">
        <v>981</v>
      </c>
      <c r="B76" t="s">
        <v>845</v>
      </c>
      <c r="C76" t="s">
        <v>554</v>
      </c>
      <c r="E76">
        <v>1</v>
      </c>
      <c r="F76" t="s">
        <v>55</v>
      </c>
      <c r="G76" t="s">
        <v>75</v>
      </c>
      <c r="H76">
        <v>0</v>
      </c>
      <c r="J76" t="b">
        <v>0</v>
      </c>
      <c r="K76" t="b">
        <v>0</v>
      </c>
      <c r="O76">
        <v>0</v>
      </c>
    </row>
    <row r="77" spans="1:15" x14ac:dyDescent="0.4">
      <c r="A77" t="s">
        <v>982</v>
      </c>
      <c r="B77" t="s">
        <v>845</v>
      </c>
      <c r="C77" t="s">
        <v>983</v>
      </c>
      <c r="E77">
        <v>1</v>
      </c>
      <c r="F77" t="s">
        <v>55</v>
      </c>
      <c r="G77" t="s">
        <v>75</v>
      </c>
      <c r="H77">
        <v>0</v>
      </c>
      <c r="J77" t="b">
        <v>0</v>
      </c>
      <c r="K77" t="b">
        <v>0</v>
      </c>
      <c r="O77">
        <v>0</v>
      </c>
    </row>
    <row r="78" spans="1:15" x14ac:dyDescent="0.4">
      <c r="A78" t="s">
        <v>984</v>
      </c>
      <c r="B78" t="s">
        <v>845</v>
      </c>
      <c r="C78" t="s">
        <v>985</v>
      </c>
      <c r="E78">
        <v>1</v>
      </c>
      <c r="F78" t="s">
        <v>55</v>
      </c>
      <c r="G78" t="s">
        <v>75</v>
      </c>
      <c r="H78">
        <v>0</v>
      </c>
      <c r="J78" t="b">
        <v>0</v>
      </c>
      <c r="K78" t="b">
        <v>0</v>
      </c>
      <c r="O78">
        <v>0</v>
      </c>
    </row>
    <row r="79" spans="1:15" x14ac:dyDescent="0.4">
      <c r="A79" t="s">
        <v>986</v>
      </c>
      <c r="B79" t="s">
        <v>987</v>
      </c>
      <c r="C79" t="s">
        <v>988</v>
      </c>
      <c r="D79" t="s">
        <v>989</v>
      </c>
      <c r="E79">
        <v>1</v>
      </c>
      <c r="F79" t="s">
        <v>290</v>
      </c>
      <c r="G79" t="s">
        <v>76</v>
      </c>
      <c r="H79">
        <v>50</v>
      </c>
      <c r="I79" t="s">
        <v>55</v>
      </c>
      <c r="J79" t="b">
        <v>1</v>
      </c>
      <c r="K79" t="b">
        <v>0</v>
      </c>
      <c r="O79">
        <v>0</v>
      </c>
    </row>
    <row r="80" spans="1:15" x14ac:dyDescent="0.4">
      <c r="A80" t="s">
        <v>990</v>
      </c>
      <c r="B80" t="s">
        <v>987</v>
      </c>
      <c r="C80" t="s">
        <v>991</v>
      </c>
      <c r="D80" t="s">
        <v>992</v>
      </c>
      <c r="E80">
        <v>1</v>
      </c>
      <c r="F80" t="s">
        <v>55</v>
      </c>
      <c r="G80" t="s">
        <v>75</v>
      </c>
      <c r="H80">
        <v>0</v>
      </c>
      <c r="J80" t="b">
        <v>0</v>
      </c>
      <c r="K80" t="b">
        <v>0</v>
      </c>
      <c r="O80">
        <v>0</v>
      </c>
    </row>
    <row r="81" spans="1:15" x14ac:dyDescent="0.4">
      <c r="A81" t="s">
        <v>993</v>
      </c>
      <c r="B81" t="s">
        <v>987</v>
      </c>
      <c r="C81" t="s">
        <v>361</v>
      </c>
      <c r="E81">
        <v>1</v>
      </c>
      <c r="F81" t="s">
        <v>55</v>
      </c>
      <c r="G81" t="s">
        <v>75</v>
      </c>
      <c r="H81">
        <v>0</v>
      </c>
      <c r="J81" t="b">
        <v>0</v>
      </c>
      <c r="K81" t="b">
        <v>0</v>
      </c>
      <c r="O81">
        <v>0</v>
      </c>
    </row>
    <row r="82" spans="1:15" x14ac:dyDescent="0.4">
      <c r="A82" t="s">
        <v>994</v>
      </c>
      <c r="B82" t="s">
        <v>987</v>
      </c>
      <c r="C82" t="s">
        <v>362</v>
      </c>
      <c r="E82">
        <v>1</v>
      </c>
      <c r="F82" t="s">
        <v>55</v>
      </c>
      <c r="G82" t="s">
        <v>75</v>
      </c>
      <c r="H82">
        <v>0</v>
      </c>
      <c r="J82" t="b">
        <v>0</v>
      </c>
      <c r="K82" t="b">
        <v>0</v>
      </c>
      <c r="O82">
        <v>0</v>
      </c>
    </row>
    <row r="83" spans="1:15" x14ac:dyDescent="0.4">
      <c r="A83" t="s">
        <v>995</v>
      </c>
      <c r="B83" t="s">
        <v>987</v>
      </c>
      <c r="C83" t="s">
        <v>363</v>
      </c>
      <c r="E83">
        <v>1</v>
      </c>
      <c r="F83" t="s">
        <v>55</v>
      </c>
      <c r="G83" t="s">
        <v>75</v>
      </c>
      <c r="H83">
        <v>0</v>
      </c>
      <c r="J83" t="b">
        <v>0</v>
      </c>
      <c r="K83" t="b">
        <v>0</v>
      </c>
      <c r="O83">
        <v>0</v>
      </c>
    </row>
    <row r="84" spans="1:15" x14ac:dyDescent="0.4">
      <c r="A84" t="s">
        <v>996</v>
      </c>
      <c r="B84" t="s">
        <v>987</v>
      </c>
      <c r="C84" t="s">
        <v>376</v>
      </c>
      <c r="E84">
        <v>1</v>
      </c>
      <c r="F84" t="s">
        <v>55</v>
      </c>
      <c r="G84" t="s">
        <v>75</v>
      </c>
      <c r="H84">
        <v>0</v>
      </c>
      <c r="J84" t="b">
        <v>0</v>
      </c>
      <c r="K84" t="b">
        <v>0</v>
      </c>
      <c r="O84">
        <v>0</v>
      </c>
    </row>
    <row r="85" spans="1:15" x14ac:dyDescent="0.4">
      <c r="A85" t="s">
        <v>997</v>
      </c>
      <c r="B85" t="s">
        <v>987</v>
      </c>
      <c r="C85" t="s">
        <v>377</v>
      </c>
      <c r="E85">
        <v>1</v>
      </c>
      <c r="F85" t="s">
        <v>55</v>
      </c>
      <c r="G85" t="s">
        <v>75</v>
      </c>
      <c r="H85">
        <v>0</v>
      </c>
      <c r="J85" t="b">
        <v>0</v>
      </c>
      <c r="K85" t="b">
        <v>0</v>
      </c>
      <c r="O85">
        <v>0</v>
      </c>
    </row>
    <row r="86" spans="1:15" x14ac:dyDescent="0.4">
      <c r="A86" t="s">
        <v>998</v>
      </c>
      <c r="B86" t="s">
        <v>987</v>
      </c>
      <c r="C86" t="s">
        <v>365</v>
      </c>
      <c r="E86">
        <v>1</v>
      </c>
      <c r="F86" t="s">
        <v>55</v>
      </c>
      <c r="G86" t="s">
        <v>75</v>
      </c>
      <c r="H86">
        <v>0</v>
      </c>
      <c r="J86" t="b">
        <v>0</v>
      </c>
      <c r="K86" t="b">
        <v>0</v>
      </c>
      <c r="O86">
        <v>0</v>
      </c>
    </row>
    <row r="87" spans="1:15" x14ac:dyDescent="0.4">
      <c r="A87" t="s">
        <v>999</v>
      </c>
      <c r="B87" t="s">
        <v>987</v>
      </c>
      <c r="C87" t="s">
        <v>366</v>
      </c>
      <c r="E87">
        <v>1</v>
      </c>
      <c r="F87" t="s">
        <v>55</v>
      </c>
      <c r="G87" t="s">
        <v>75</v>
      </c>
      <c r="H87">
        <v>0</v>
      </c>
      <c r="J87" t="b">
        <v>0</v>
      </c>
      <c r="K87" t="b">
        <v>0</v>
      </c>
      <c r="O87">
        <v>0</v>
      </c>
    </row>
    <row r="88" spans="1:15" x14ac:dyDescent="0.4">
      <c r="A88" t="s">
        <v>1000</v>
      </c>
      <c r="B88" t="s">
        <v>987</v>
      </c>
      <c r="C88" t="s">
        <v>367</v>
      </c>
      <c r="E88">
        <v>1</v>
      </c>
      <c r="F88" t="s">
        <v>55</v>
      </c>
      <c r="G88" t="s">
        <v>75</v>
      </c>
      <c r="H88">
        <v>0</v>
      </c>
      <c r="J88" t="b">
        <v>0</v>
      </c>
      <c r="K88" t="b">
        <v>0</v>
      </c>
      <c r="O88">
        <v>0</v>
      </c>
    </row>
    <row r="89" spans="1:15" x14ac:dyDescent="0.4">
      <c r="A89" t="s">
        <v>1001</v>
      </c>
      <c r="B89" t="s">
        <v>987</v>
      </c>
      <c r="C89" t="s">
        <v>378</v>
      </c>
      <c r="E89">
        <v>1</v>
      </c>
      <c r="F89" t="s">
        <v>55</v>
      </c>
      <c r="G89" t="s">
        <v>75</v>
      </c>
      <c r="H89">
        <v>0</v>
      </c>
      <c r="J89" t="b">
        <v>0</v>
      </c>
      <c r="K89" t="b">
        <v>0</v>
      </c>
      <c r="O89">
        <v>0</v>
      </c>
    </row>
    <row r="90" spans="1:15" x14ac:dyDescent="0.4">
      <c r="A90" t="s">
        <v>1002</v>
      </c>
      <c r="B90" t="s">
        <v>987</v>
      </c>
      <c r="C90" t="s">
        <v>379</v>
      </c>
      <c r="E90">
        <v>1</v>
      </c>
      <c r="F90" t="s">
        <v>55</v>
      </c>
      <c r="G90" t="s">
        <v>75</v>
      </c>
      <c r="H90">
        <v>0</v>
      </c>
      <c r="J90" t="b">
        <v>0</v>
      </c>
      <c r="K90" t="b">
        <v>0</v>
      </c>
      <c r="O90">
        <v>0</v>
      </c>
    </row>
    <row r="91" spans="1:15" x14ac:dyDescent="0.4">
      <c r="A91" t="s">
        <v>1003</v>
      </c>
      <c r="B91" t="s">
        <v>987</v>
      </c>
      <c r="C91" t="s">
        <v>380</v>
      </c>
      <c r="E91">
        <v>1</v>
      </c>
      <c r="F91" t="s">
        <v>55</v>
      </c>
      <c r="G91" t="s">
        <v>75</v>
      </c>
      <c r="H91">
        <v>0</v>
      </c>
      <c r="J91" t="b">
        <v>0</v>
      </c>
      <c r="K91" t="b">
        <v>0</v>
      </c>
      <c r="O91">
        <v>0</v>
      </c>
    </row>
    <row r="92" spans="1:15" x14ac:dyDescent="0.4">
      <c r="A92" t="s">
        <v>1004</v>
      </c>
      <c r="B92" t="s">
        <v>151</v>
      </c>
      <c r="C92" t="s">
        <v>1005</v>
      </c>
      <c r="E92">
        <v>1</v>
      </c>
      <c r="F92" t="s">
        <v>55</v>
      </c>
      <c r="G92" t="s">
        <v>77</v>
      </c>
      <c r="H92">
        <v>100</v>
      </c>
      <c r="J92" t="b">
        <v>1</v>
      </c>
      <c r="K92" t="b">
        <v>1</v>
      </c>
      <c r="O92">
        <v>0</v>
      </c>
    </row>
    <row r="93" spans="1:15" x14ac:dyDescent="0.4">
      <c r="A93" t="s">
        <v>1006</v>
      </c>
      <c r="B93" t="s">
        <v>151</v>
      </c>
      <c r="C93" t="s">
        <v>1007</v>
      </c>
      <c r="E93">
        <v>1</v>
      </c>
      <c r="F93" t="s">
        <v>55</v>
      </c>
      <c r="G93" t="s">
        <v>77</v>
      </c>
      <c r="H93">
        <v>100</v>
      </c>
      <c r="J93" t="b">
        <v>1</v>
      </c>
      <c r="K93" t="b">
        <v>1</v>
      </c>
      <c r="O9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defaultColWidth="8.69140625" defaultRowHeight="14.6" x14ac:dyDescent="0.4"/>
  <cols>
    <col min="1" max="1" width="5" customWidth="1"/>
    <col min="2" max="2" width="12" customWidth="1"/>
    <col min="3" max="3" width="35" customWidth="1"/>
    <col min="4" max="4" width="16" customWidth="1"/>
    <col min="5" max="5" width="6" customWidth="1"/>
    <col min="6" max="6" width="18" customWidth="1"/>
    <col min="7" max="7" width="14" customWidth="1"/>
    <col min="8" max="9" width="20" customWidth="1"/>
    <col min="10" max="10" width="22" customWidth="1"/>
    <col min="11" max="11" width="26" customWidth="1"/>
    <col min="12" max="12" width="10" customWidth="1"/>
  </cols>
  <sheetData>
    <row r="1" spans="1:13" ht="24.9" customHeight="1" x14ac:dyDescent="0.4">
      <c r="A1" s="10" t="s">
        <v>118</v>
      </c>
      <c r="B1" s="10" t="s">
        <v>121</v>
      </c>
      <c r="C1" s="10" t="s">
        <v>1008</v>
      </c>
      <c r="D1" s="10" t="s">
        <v>799</v>
      </c>
      <c r="E1" s="10" t="s">
        <v>6</v>
      </c>
      <c r="F1" s="10" t="s">
        <v>1009</v>
      </c>
      <c r="G1" s="10" t="s">
        <v>275</v>
      </c>
      <c r="H1" s="10" t="s">
        <v>1010</v>
      </c>
      <c r="I1" s="10" t="s">
        <v>129</v>
      </c>
      <c r="J1" s="10" t="s">
        <v>130</v>
      </c>
      <c r="K1" s="10" t="s">
        <v>131</v>
      </c>
      <c r="L1" s="10" t="s">
        <v>132</v>
      </c>
    </row>
    <row r="2" spans="1:13" x14ac:dyDescent="0.4">
      <c r="A2">
        <v>1</v>
      </c>
      <c r="B2" t="s">
        <v>1367</v>
      </c>
      <c r="C2" t="s">
        <v>1011</v>
      </c>
      <c r="D2" t="s">
        <v>1012</v>
      </c>
      <c r="E2">
        <v>1</v>
      </c>
      <c r="F2" t="s">
        <v>1013</v>
      </c>
      <c r="H2" t="b">
        <v>1</v>
      </c>
      <c r="L2">
        <v>0</v>
      </c>
      <c r="M2" t="b">
        <v>1</v>
      </c>
    </row>
    <row r="3" spans="1:13" x14ac:dyDescent="0.4">
      <c r="A3">
        <v>2</v>
      </c>
      <c r="B3" t="s">
        <v>1367</v>
      </c>
      <c r="C3" t="s">
        <v>1014</v>
      </c>
      <c r="D3" t="s">
        <v>1015</v>
      </c>
      <c r="E3">
        <v>1</v>
      </c>
      <c r="F3" t="s">
        <v>1013</v>
      </c>
      <c r="H3" t="b">
        <v>1</v>
      </c>
      <c r="L3">
        <v>0</v>
      </c>
    </row>
    <row r="4" spans="1:13" x14ac:dyDescent="0.4">
      <c r="A4">
        <v>3</v>
      </c>
      <c r="B4" t="s">
        <v>1367</v>
      </c>
      <c r="C4" t="s">
        <v>1016</v>
      </c>
      <c r="D4" t="s">
        <v>1017</v>
      </c>
      <c r="E4">
        <v>1</v>
      </c>
      <c r="F4" t="s">
        <v>1013</v>
      </c>
      <c r="H4" t="b">
        <v>1</v>
      </c>
      <c r="L4">
        <v>0</v>
      </c>
    </row>
    <row r="5" spans="1:13" x14ac:dyDescent="0.4">
      <c r="A5">
        <v>4</v>
      </c>
      <c r="B5" t="s">
        <v>1367</v>
      </c>
      <c r="C5" t="s">
        <v>1018</v>
      </c>
      <c r="D5" t="s">
        <v>1019</v>
      </c>
      <c r="E5">
        <v>1</v>
      </c>
      <c r="F5" t="s">
        <v>1013</v>
      </c>
      <c r="H5" t="b">
        <v>1</v>
      </c>
      <c r="L5">
        <v>0</v>
      </c>
    </row>
    <row r="6" spans="1:13" x14ac:dyDescent="0.4">
      <c r="A6">
        <v>5</v>
      </c>
      <c r="B6" t="s">
        <v>1365</v>
      </c>
      <c r="C6" t="s">
        <v>1020</v>
      </c>
      <c r="D6" t="s">
        <v>1021</v>
      </c>
      <c r="E6">
        <v>1</v>
      </c>
      <c r="F6" t="s">
        <v>1022</v>
      </c>
      <c r="H6" t="b">
        <v>1</v>
      </c>
      <c r="L6">
        <v>0</v>
      </c>
    </row>
    <row r="7" spans="1:13" x14ac:dyDescent="0.4">
      <c r="A7">
        <v>6</v>
      </c>
      <c r="B7" t="s">
        <v>1365</v>
      </c>
      <c r="C7" t="s">
        <v>1023</v>
      </c>
      <c r="D7" t="s">
        <v>1024</v>
      </c>
      <c r="E7">
        <v>1</v>
      </c>
      <c r="F7" t="s">
        <v>1025</v>
      </c>
      <c r="H7" t="b">
        <v>1</v>
      </c>
      <c r="L7">
        <v>0</v>
      </c>
      <c r="M7" t="b">
        <v>1</v>
      </c>
    </row>
    <row r="8" spans="1:13" x14ac:dyDescent="0.4">
      <c r="A8">
        <v>7</v>
      </c>
      <c r="B8" t="s">
        <v>1365</v>
      </c>
      <c r="C8" t="s">
        <v>1023</v>
      </c>
      <c r="D8" t="s">
        <v>1026</v>
      </c>
      <c r="E8">
        <v>1</v>
      </c>
      <c r="F8" t="s">
        <v>1027</v>
      </c>
      <c r="G8" t="s">
        <v>812</v>
      </c>
      <c r="H8" t="b">
        <v>1</v>
      </c>
      <c r="L8">
        <v>0</v>
      </c>
      <c r="M8" t="b">
        <v>1</v>
      </c>
    </row>
    <row r="9" spans="1:13" x14ac:dyDescent="0.4">
      <c r="A9">
        <v>8</v>
      </c>
      <c r="B9" t="s">
        <v>1365</v>
      </c>
      <c r="C9" t="s">
        <v>1028</v>
      </c>
      <c r="D9" t="s">
        <v>1029</v>
      </c>
      <c r="E9">
        <v>1</v>
      </c>
      <c r="F9" t="s">
        <v>1030</v>
      </c>
      <c r="G9" t="s">
        <v>812</v>
      </c>
      <c r="H9" t="b">
        <v>1</v>
      </c>
      <c r="L9">
        <v>0</v>
      </c>
      <c r="M9" t="b">
        <v>1</v>
      </c>
    </row>
    <row r="10" spans="1:13" x14ac:dyDescent="0.4">
      <c r="A10">
        <v>9</v>
      </c>
      <c r="B10" t="s">
        <v>1365</v>
      </c>
      <c r="C10" t="s">
        <v>1031</v>
      </c>
      <c r="D10" t="s">
        <v>1032</v>
      </c>
      <c r="E10">
        <v>1</v>
      </c>
      <c r="F10" t="s">
        <v>1033</v>
      </c>
      <c r="H10" t="b">
        <v>0</v>
      </c>
      <c r="L10">
        <v>0</v>
      </c>
    </row>
    <row r="11" spans="1:13" x14ac:dyDescent="0.4">
      <c r="A11">
        <v>10</v>
      </c>
      <c r="B11" t="s">
        <v>1365</v>
      </c>
      <c r="C11" t="s">
        <v>1034</v>
      </c>
      <c r="D11" t="s">
        <v>1035</v>
      </c>
      <c r="E11">
        <v>1</v>
      </c>
      <c r="F11" t="s">
        <v>1036</v>
      </c>
      <c r="H11" t="b">
        <v>0</v>
      </c>
      <c r="L11">
        <v>0</v>
      </c>
    </row>
    <row r="12" spans="1:13" x14ac:dyDescent="0.4">
      <c r="A12">
        <v>11</v>
      </c>
      <c r="B12" t="s">
        <v>1365</v>
      </c>
      <c r="C12" t="s">
        <v>1037</v>
      </c>
      <c r="D12" t="s">
        <v>1038</v>
      </c>
      <c r="E12">
        <v>1</v>
      </c>
      <c r="F12" t="s">
        <v>1039</v>
      </c>
      <c r="H12" t="b">
        <v>0</v>
      </c>
      <c r="L12">
        <v>0</v>
      </c>
    </row>
    <row r="13" spans="1:13" x14ac:dyDescent="0.4">
      <c r="A13">
        <v>12</v>
      </c>
      <c r="B13" t="s">
        <v>1365</v>
      </c>
      <c r="C13" t="s">
        <v>1040</v>
      </c>
      <c r="D13" t="s">
        <v>1041</v>
      </c>
      <c r="E13">
        <v>1</v>
      </c>
      <c r="F13" t="s">
        <v>1042</v>
      </c>
      <c r="H13" t="b">
        <v>0</v>
      </c>
      <c r="L13">
        <v>0</v>
      </c>
    </row>
    <row r="14" spans="1:13" x14ac:dyDescent="0.4">
      <c r="A14">
        <v>13</v>
      </c>
      <c r="B14" t="s">
        <v>1365</v>
      </c>
      <c r="C14" t="s">
        <v>1043</v>
      </c>
      <c r="D14" t="s">
        <v>1044</v>
      </c>
      <c r="E14">
        <v>1</v>
      </c>
      <c r="F14" t="s">
        <v>1045</v>
      </c>
      <c r="H14" t="b">
        <v>0</v>
      </c>
      <c r="L14">
        <v>0</v>
      </c>
    </row>
    <row r="15" spans="1:13" x14ac:dyDescent="0.4">
      <c r="A15">
        <v>14</v>
      </c>
      <c r="B15" t="s">
        <v>1365</v>
      </c>
      <c r="C15" t="s">
        <v>1046</v>
      </c>
      <c r="D15" t="s">
        <v>1047</v>
      </c>
      <c r="E15">
        <v>1</v>
      </c>
      <c r="F15" t="s">
        <v>1039</v>
      </c>
      <c r="H15" t="b">
        <v>0</v>
      </c>
      <c r="L15">
        <v>0</v>
      </c>
    </row>
    <row r="16" spans="1:13" x14ac:dyDescent="0.4">
      <c r="A16">
        <v>15</v>
      </c>
      <c r="B16" t="s">
        <v>1365</v>
      </c>
      <c r="C16" t="s">
        <v>1048</v>
      </c>
      <c r="D16" t="s">
        <v>1049</v>
      </c>
      <c r="E16">
        <v>1</v>
      </c>
      <c r="F16" t="s">
        <v>1050</v>
      </c>
      <c r="H16" t="b">
        <v>0</v>
      </c>
      <c r="L16">
        <v>0</v>
      </c>
    </row>
    <row r="17" spans="1:12" x14ac:dyDescent="0.4">
      <c r="A17">
        <v>16</v>
      </c>
      <c r="B17" t="s">
        <v>1365</v>
      </c>
      <c r="C17" t="s">
        <v>1051</v>
      </c>
      <c r="D17" t="s">
        <v>1052</v>
      </c>
      <c r="E17">
        <v>1</v>
      </c>
      <c r="F17" t="s">
        <v>1053</v>
      </c>
      <c r="H17" t="b">
        <v>0</v>
      </c>
      <c r="L17">
        <v>0</v>
      </c>
    </row>
    <row r="18" spans="1:12" x14ac:dyDescent="0.4">
      <c r="A18">
        <v>17</v>
      </c>
      <c r="B18" t="s">
        <v>1365</v>
      </c>
      <c r="C18" t="s">
        <v>1054</v>
      </c>
      <c r="D18" t="s">
        <v>1055</v>
      </c>
      <c r="E18">
        <v>1</v>
      </c>
      <c r="F18" t="s">
        <v>1056</v>
      </c>
      <c r="H18" t="b">
        <v>0</v>
      </c>
      <c r="L18">
        <v>0</v>
      </c>
    </row>
    <row r="19" spans="1:12" x14ac:dyDescent="0.4">
      <c r="A19">
        <v>18</v>
      </c>
      <c r="B19" t="s">
        <v>1365</v>
      </c>
      <c r="C19" t="s">
        <v>1057</v>
      </c>
      <c r="D19" t="s">
        <v>1058</v>
      </c>
      <c r="E19">
        <v>1</v>
      </c>
      <c r="F19" t="s">
        <v>1059</v>
      </c>
      <c r="H19" t="b">
        <v>0</v>
      </c>
      <c r="L19">
        <v>0</v>
      </c>
    </row>
    <row r="20" spans="1:12" x14ac:dyDescent="0.4">
      <c r="A20">
        <v>19</v>
      </c>
      <c r="B20" t="s">
        <v>1365</v>
      </c>
      <c r="C20" t="s">
        <v>1060</v>
      </c>
      <c r="D20" t="s">
        <v>1061</v>
      </c>
      <c r="E20">
        <v>1</v>
      </c>
      <c r="F20" t="s">
        <v>1059</v>
      </c>
      <c r="H20" t="b">
        <v>0</v>
      </c>
      <c r="L20">
        <v>0</v>
      </c>
    </row>
    <row r="21" spans="1:12" x14ac:dyDescent="0.4">
      <c r="A21">
        <v>20</v>
      </c>
      <c r="B21" t="s">
        <v>1365</v>
      </c>
      <c r="C21" t="s">
        <v>1062</v>
      </c>
      <c r="D21" t="s">
        <v>1063</v>
      </c>
      <c r="E21">
        <v>1</v>
      </c>
      <c r="F21" t="s">
        <v>1064</v>
      </c>
      <c r="H21" t="b">
        <v>0</v>
      </c>
      <c r="L21">
        <v>0</v>
      </c>
    </row>
    <row r="22" spans="1:12" x14ac:dyDescent="0.4">
      <c r="A22">
        <v>21</v>
      </c>
      <c r="B22" t="s">
        <v>1365</v>
      </c>
      <c r="C22" t="s">
        <v>1065</v>
      </c>
      <c r="D22" t="s">
        <v>1066</v>
      </c>
      <c r="E22">
        <v>1</v>
      </c>
      <c r="F22" t="s">
        <v>1064</v>
      </c>
      <c r="H22" t="b">
        <v>0</v>
      </c>
      <c r="L22">
        <v>0</v>
      </c>
    </row>
    <row r="23" spans="1:12" x14ac:dyDescent="0.4">
      <c r="A23">
        <v>22</v>
      </c>
      <c r="B23" t="s">
        <v>1365</v>
      </c>
      <c r="C23" t="s">
        <v>1067</v>
      </c>
      <c r="D23" t="s">
        <v>1068</v>
      </c>
      <c r="E23">
        <v>1</v>
      </c>
      <c r="F23" t="s">
        <v>1069</v>
      </c>
      <c r="H23" t="b">
        <v>0</v>
      </c>
      <c r="L23">
        <v>0</v>
      </c>
    </row>
    <row r="24" spans="1:12" x14ac:dyDescent="0.4">
      <c r="A24">
        <v>23</v>
      </c>
      <c r="B24" t="s">
        <v>1365</v>
      </c>
      <c r="C24" t="s">
        <v>1067</v>
      </c>
      <c r="D24" t="s">
        <v>1070</v>
      </c>
      <c r="E24">
        <v>1</v>
      </c>
      <c r="F24" t="s">
        <v>1069</v>
      </c>
      <c r="H24" t="b">
        <v>0</v>
      </c>
      <c r="L24">
        <v>0</v>
      </c>
    </row>
    <row r="25" spans="1:12" x14ac:dyDescent="0.4">
      <c r="A25">
        <v>24</v>
      </c>
      <c r="B25" t="s">
        <v>1365</v>
      </c>
      <c r="C25" t="s">
        <v>1071</v>
      </c>
      <c r="D25" t="s">
        <v>1072</v>
      </c>
      <c r="E25">
        <v>1</v>
      </c>
      <c r="F25" t="s">
        <v>1073</v>
      </c>
      <c r="H25" t="b">
        <v>0</v>
      </c>
      <c r="L25">
        <v>0</v>
      </c>
    </row>
    <row r="26" spans="1:12" x14ac:dyDescent="0.4">
      <c r="A26">
        <v>25</v>
      </c>
      <c r="B26" t="s">
        <v>1365</v>
      </c>
      <c r="C26" t="s">
        <v>1071</v>
      </c>
      <c r="D26" t="s">
        <v>1074</v>
      </c>
      <c r="E26">
        <v>1</v>
      </c>
      <c r="F26" t="s">
        <v>1073</v>
      </c>
      <c r="H26" t="b">
        <v>0</v>
      </c>
      <c r="L26">
        <v>0</v>
      </c>
    </row>
    <row r="27" spans="1:12" x14ac:dyDescent="0.4">
      <c r="A27">
        <v>26</v>
      </c>
      <c r="B27" t="s">
        <v>1365</v>
      </c>
      <c r="C27" t="s">
        <v>1075</v>
      </c>
      <c r="D27" t="s">
        <v>1076</v>
      </c>
      <c r="E27">
        <v>1</v>
      </c>
      <c r="F27" t="s">
        <v>1077</v>
      </c>
      <c r="H27" t="b">
        <v>0</v>
      </c>
      <c r="L27">
        <v>0</v>
      </c>
    </row>
    <row r="28" spans="1:12" x14ac:dyDescent="0.4">
      <c r="A28">
        <v>27</v>
      </c>
      <c r="B28" t="s">
        <v>1365</v>
      </c>
      <c r="C28" t="s">
        <v>1078</v>
      </c>
      <c r="D28" t="s">
        <v>1079</v>
      </c>
      <c r="E28">
        <v>1</v>
      </c>
      <c r="F28" t="s">
        <v>1050</v>
      </c>
      <c r="H28" t="b">
        <v>0</v>
      </c>
      <c r="L28">
        <v>0</v>
      </c>
    </row>
    <row r="29" spans="1:12" x14ac:dyDescent="0.4">
      <c r="A29">
        <v>28</v>
      </c>
      <c r="B29" t="s">
        <v>1365</v>
      </c>
      <c r="C29" t="s">
        <v>1078</v>
      </c>
      <c r="D29" t="s">
        <v>1080</v>
      </c>
      <c r="E29">
        <v>1</v>
      </c>
      <c r="F29" t="s">
        <v>1081</v>
      </c>
      <c r="H29" t="b">
        <v>0</v>
      </c>
      <c r="L29">
        <v>0</v>
      </c>
    </row>
    <row r="30" spans="1:12" x14ac:dyDescent="0.4">
      <c r="A30">
        <v>29</v>
      </c>
      <c r="B30" t="s">
        <v>1365</v>
      </c>
      <c r="C30" t="s">
        <v>1082</v>
      </c>
      <c r="D30" t="s">
        <v>1083</v>
      </c>
      <c r="E30">
        <v>1</v>
      </c>
      <c r="F30" t="s">
        <v>1064</v>
      </c>
      <c r="H30" t="b">
        <v>0</v>
      </c>
      <c r="L30">
        <v>0</v>
      </c>
    </row>
    <row r="31" spans="1:12" x14ac:dyDescent="0.4">
      <c r="A31">
        <v>30</v>
      </c>
      <c r="B31" t="s">
        <v>1365</v>
      </c>
      <c r="C31" t="s">
        <v>1084</v>
      </c>
      <c r="D31" t="s">
        <v>1085</v>
      </c>
      <c r="E31">
        <v>1</v>
      </c>
      <c r="F31" t="s">
        <v>1086</v>
      </c>
      <c r="H31" t="b">
        <v>0</v>
      </c>
      <c r="L31">
        <v>0</v>
      </c>
    </row>
    <row r="32" spans="1:12" x14ac:dyDescent="0.4">
      <c r="A32">
        <v>31</v>
      </c>
      <c r="B32" t="s">
        <v>1365</v>
      </c>
      <c r="C32" t="s">
        <v>1087</v>
      </c>
      <c r="D32" t="s">
        <v>1088</v>
      </c>
      <c r="E32">
        <v>1</v>
      </c>
      <c r="F32" t="s">
        <v>1089</v>
      </c>
      <c r="H32" t="b">
        <v>0</v>
      </c>
      <c r="L32">
        <v>0</v>
      </c>
    </row>
    <row r="33" spans="1:12" x14ac:dyDescent="0.4">
      <c r="A33">
        <v>32</v>
      </c>
      <c r="B33" t="s">
        <v>1365</v>
      </c>
      <c r="C33" t="s">
        <v>1090</v>
      </c>
      <c r="D33" t="s">
        <v>1091</v>
      </c>
      <c r="E33">
        <v>1</v>
      </c>
      <c r="F33" t="s">
        <v>1013</v>
      </c>
      <c r="H33" t="b">
        <v>0</v>
      </c>
      <c r="L33">
        <v>0</v>
      </c>
    </row>
    <row r="34" spans="1:12" x14ac:dyDescent="0.4">
      <c r="A34">
        <v>33</v>
      </c>
      <c r="B34" t="s">
        <v>1365</v>
      </c>
      <c r="C34" t="s">
        <v>1092</v>
      </c>
      <c r="D34" t="s">
        <v>1093</v>
      </c>
      <c r="E34">
        <v>1</v>
      </c>
      <c r="F34" t="s">
        <v>1094</v>
      </c>
      <c r="H34" t="b">
        <v>0</v>
      </c>
      <c r="L34">
        <v>0</v>
      </c>
    </row>
    <row r="35" spans="1:12" x14ac:dyDescent="0.4">
      <c r="A35">
        <v>34</v>
      </c>
      <c r="B35" t="s">
        <v>1365</v>
      </c>
      <c r="C35" t="s">
        <v>1095</v>
      </c>
      <c r="D35" t="s">
        <v>1096</v>
      </c>
      <c r="E35">
        <v>1</v>
      </c>
      <c r="F35" t="s">
        <v>1097</v>
      </c>
      <c r="H35" t="b">
        <v>0</v>
      </c>
      <c r="L35">
        <v>0</v>
      </c>
    </row>
    <row r="36" spans="1:12" x14ac:dyDescent="0.4">
      <c r="A36">
        <v>35</v>
      </c>
      <c r="B36" t="s">
        <v>1365</v>
      </c>
      <c r="C36" t="s">
        <v>1098</v>
      </c>
      <c r="D36" t="s">
        <v>1099</v>
      </c>
      <c r="E36">
        <v>1</v>
      </c>
      <c r="F36" t="s">
        <v>1100</v>
      </c>
      <c r="H36" t="b">
        <v>0</v>
      </c>
      <c r="L36">
        <v>0</v>
      </c>
    </row>
    <row r="37" spans="1:12" x14ac:dyDescent="0.4">
      <c r="A37">
        <v>36</v>
      </c>
      <c r="B37" t="s">
        <v>1365</v>
      </c>
      <c r="C37" t="s">
        <v>1101</v>
      </c>
      <c r="D37" t="s">
        <v>1102</v>
      </c>
      <c r="E37">
        <v>1</v>
      </c>
      <c r="F37" t="s">
        <v>1013</v>
      </c>
      <c r="H37" t="b">
        <v>0</v>
      </c>
      <c r="L37">
        <v>0</v>
      </c>
    </row>
    <row r="38" spans="1:12" x14ac:dyDescent="0.4">
      <c r="A38">
        <v>37</v>
      </c>
      <c r="B38" t="s">
        <v>1365</v>
      </c>
      <c r="C38" t="s">
        <v>1103</v>
      </c>
      <c r="D38" t="s">
        <v>1104</v>
      </c>
      <c r="E38">
        <v>1</v>
      </c>
      <c r="F38" t="s">
        <v>1105</v>
      </c>
      <c r="H38" t="b">
        <v>0</v>
      </c>
      <c r="L38">
        <v>0</v>
      </c>
    </row>
    <row r="39" spans="1:12" x14ac:dyDescent="0.4">
      <c r="A39">
        <v>38</v>
      </c>
      <c r="B39" t="s">
        <v>1365</v>
      </c>
      <c r="C39" t="s">
        <v>1103</v>
      </c>
      <c r="D39" t="s">
        <v>1106</v>
      </c>
      <c r="E39">
        <v>1</v>
      </c>
      <c r="F39" t="s">
        <v>1105</v>
      </c>
      <c r="H39" t="b">
        <v>0</v>
      </c>
      <c r="L39">
        <v>0</v>
      </c>
    </row>
    <row r="40" spans="1:12" x14ac:dyDescent="0.4">
      <c r="A40">
        <v>39</v>
      </c>
      <c r="B40" t="s">
        <v>1365</v>
      </c>
      <c r="C40" t="s">
        <v>1103</v>
      </c>
      <c r="D40" t="s">
        <v>1107</v>
      </c>
      <c r="E40">
        <v>1</v>
      </c>
      <c r="F40" t="s">
        <v>1105</v>
      </c>
      <c r="H40" t="b">
        <v>0</v>
      </c>
      <c r="L40">
        <v>0</v>
      </c>
    </row>
    <row r="41" spans="1:12" x14ac:dyDescent="0.4">
      <c r="A41">
        <v>40</v>
      </c>
      <c r="B41" t="s">
        <v>1365</v>
      </c>
      <c r="C41" t="s">
        <v>1108</v>
      </c>
      <c r="D41" t="s">
        <v>1109</v>
      </c>
      <c r="E41">
        <v>1</v>
      </c>
      <c r="F41" t="s">
        <v>1110</v>
      </c>
      <c r="H41" t="b">
        <v>0</v>
      </c>
      <c r="L41">
        <v>0</v>
      </c>
    </row>
    <row r="42" spans="1:12" x14ac:dyDescent="0.4">
      <c r="A42">
        <v>41</v>
      </c>
      <c r="B42" t="s">
        <v>1365</v>
      </c>
      <c r="C42" t="s">
        <v>1111</v>
      </c>
      <c r="D42" t="s">
        <v>1112</v>
      </c>
      <c r="E42">
        <v>1</v>
      </c>
      <c r="F42" t="s">
        <v>1113</v>
      </c>
      <c r="H42" t="b">
        <v>0</v>
      </c>
      <c r="L42">
        <v>0</v>
      </c>
    </row>
    <row r="43" spans="1:12" x14ac:dyDescent="0.4">
      <c r="A43">
        <v>42</v>
      </c>
      <c r="B43" t="s">
        <v>1365</v>
      </c>
      <c r="C43" t="s">
        <v>1114</v>
      </c>
      <c r="D43" t="s">
        <v>1115</v>
      </c>
      <c r="E43">
        <v>1</v>
      </c>
      <c r="F43" t="s">
        <v>1116</v>
      </c>
      <c r="H43" t="b">
        <v>0</v>
      </c>
      <c r="L43">
        <v>0</v>
      </c>
    </row>
    <row r="44" spans="1:12" x14ac:dyDescent="0.4">
      <c r="A44">
        <v>43</v>
      </c>
      <c r="B44" t="s">
        <v>1365</v>
      </c>
      <c r="C44" t="s">
        <v>1117</v>
      </c>
      <c r="D44" t="s">
        <v>1118</v>
      </c>
      <c r="E44">
        <v>1</v>
      </c>
      <c r="F44" t="s">
        <v>1119</v>
      </c>
      <c r="H44" t="b">
        <v>0</v>
      </c>
      <c r="L44">
        <v>0</v>
      </c>
    </row>
    <row r="45" spans="1:12" x14ac:dyDescent="0.4">
      <c r="A45">
        <v>44</v>
      </c>
      <c r="B45" t="s">
        <v>1365</v>
      </c>
      <c r="C45" t="s">
        <v>1117</v>
      </c>
      <c r="D45" t="s">
        <v>1120</v>
      </c>
      <c r="E45">
        <v>1</v>
      </c>
      <c r="F45" t="s">
        <v>1119</v>
      </c>
      <c r="H45" t="b">
        <v>0</v>
      </c>
      <c r="L45">
        <v>0</v>
      </c>
    </row>
    <row r="46" spans="1:12" x14ac:dyDescent="0.4">
      <c r="A46">
        <v>45</v>
      </c>
      <c r="B46" t="s">
        <v>1365</v>
      </c>
      <c r="C46" t="s">
        <v>1117</v>
      </c>
      <c r="D46" t="s">
        <v>1121</v>
      </c>
      <c r="E46">
        <v>1</v>
      </c>
      <c r="F46" t="s">
        <v>1119</v>
      </c>
      <c r="H46" t="b">
        <v>0</v>
      </c>
      <c r="L46">
        <v>0</v>
      </c>
    </row>
    <row r="47" spans="1:12" x14ac:dyDescent="0.4">
      <c r="A47">
        <v>46</v>
      </c>
      <c r="B47" t="s">
        <v>1365</v>
      </c>
      <c r="C47" t="s">
        <v>1122</v>
      </c>
      <c r="D47" t="s">
        <v>1123</v>
      </c>
      <c r="E47">
        <v>1</v>
      </c>
      <c r="F47" t="s">
        <v>1119</v>
      </c>
      <c r="H47" t="b">
        <v>0</v>
      </c>
      <c r="L47">
        <v>0</v>
      </c>
    </row>
    <row r="48" spans="1:12" x14ac:dyDescent="0.4">
      <c r="A48">
        <v>47</v>
      </c>
      <c r="B48" t="s">
        <v>1365</v>
      </c>
      <c r="C48" t="s">
        <v>1122</v>
      </c>
      <c r="D48" t="s">
        <v>1124</v>
      </c>
      <c r="E48">
        <v>1</v>
      </c>
      <c r="F48" t="s">
        <v>1119</v>
      </c>
      <c r="H48" t="b">
        <v>0</v>
      </c>
      <c r="L48">
        <v>0</v>
      </c>
    </row>
    <row r="49" spans="1:12" x14ac:dyDescent="0.4">
      <c r="A49">
        <v>48</v>
      </c>
      <c r="B49" t="s">
        <v>1365</v>
      </c>
      <c r="C49" t="s">
        <v>1122</v>
      </c>
      <c r="D49" t="s">
        <v>1125</v>
      </c>
      <c r="E49">
        <v>1</v>
      </c>
      <c r="F49" t="s">
        <v>1119</v>
      </c>
      <c r="H49" t="b">
        <v>0</v>
      </c>
      <c r="L49">
        <v>0</v>
      </c>
    </row>
    <row r="50" spans="1:12" x14ac:dyDescent="0.4">
      <c r="A50">
        <v>49</v>
      </c>
      <c r="B50" t="s">
        <v>1365</v>
      </c>
      <c r="C50" t="s">
        <v>1126</v>
      </c>
      <c r="D50" t="s">
        <v>1127</v>
      </c>
      <c r="E50">
        <v>1</v>
      </c>
      <c r="F50" t="s">
        <v>1013</v>
      </c>
      <c r="H50" t="b">
        <v>0</v>
      </c>
      <c r="L50">
        <v>0</v>
      </c>
    </row>
    <row r="51" spans="1:12" x14ac:dyDescent="0.4">
      <c r="A51">
        <v>50</v>
      </c>
      <c r="B51" t="s">
        <v>1365</v>
      </c>
      <c r="C51" t="s">
        <v>1126</v>
      </c>
      <c r="D51" t="s">
        <v>1128</v>
      </c>
      <c r="E51">
        <v>1</v>
      </c>
      <c r="F51" t="s">
        <v>1013</v>
      </c>
      <c r="H51" t="b">
        <v>0</v>
      </c>
      <c r="L51">
        <v>0</v>
      </c>
    </row>
    <row r="52" spans="1:12" x14ac:dyDescent="0.4">
      <c r="A52">
        <v>51</v>
      </c>
      <c r="B52" t="s">
        <v>1365</v>
      </c>
      <c r="C52" t="s">
        <v>1126</v>
      </c>
      <c r="D52" t="s">
        <v>1129</v>
      </c>
      <c r="E52">
        <v>1</v>
      </c>
      <c r="F52" t="s">
        <v>1013</v>
      </c>
      <c r="H52" t="b">
        <v>0</v>
      </c>
      <c r="L52">
        <v>0</v>
      </c>
    </row>
    <row r="53" spans="1:12" x14ac:dyDescent="0.4">
      <c r="A53">
        <v>52</v>
      </c>
      <c r="B53" t="s">
        <v>845</v>
      </c>
      <c r="C53" t="s">
        <v>1130</v>
      </c>
      <c r="D53" t="s">
        <v>1131</v>
      </c>
      <c r="E53">
        <v>1</v>
      </c>
      <c r="F53" t="s">
        <v>1132</v>
      </c>
      <c r="H53" t="b">
        <v>0</v>
      </c>
      <c r="L53">
        <v>0</v>
      </c>
    </row>
    <row r="54" spans="1:12" x14ac:dyDescent="0.4">
      <c r="A54">
        <v>53</v>
      </c>
      <c r="B54" t="s">
        <v>845</v>
      </c>
      <c r="C54" t="s">
        <v>1133</v>
      </c>
      <c r="D54" t="s">
        <v>1134</v>
      </c>
      <c r="E54">
        <v>1</v>
      </c>
      <c r="F54" t="s">
        <v>1132</v>
      </c>
      <c r="H54" t="b">
        <v>0</v>
      </c>
      <c r="L54">
        <v>0</v>
      </c>
    </row>
    <row r="55" spans="1:12" x14ac:dyDescent="0.4">
      <c r="A55">
        <v>54</v>
      </c>
      <c r="B55" t="s">
        <v>845</v>
      </c>
      <c r="C55" t="s">
        <v>1135</v>
      </c>
      <c r="D55" t="s">
        <v>1136</v>
      </c>
      <c r="E55">
        <v>1</v>
      </c>
      <c r="F55" t="s">
        <v>1132</v>
      </c>
      <c r="H55" t="b">
        <v>0</v>
      </c>
      <c r="L55">
        <v>0</v>
      </c>
    </row>
    <row r="56" spans="1:12" x14ac:dyDescent="0.4">
      <c r="A56">
        <v>55</v>
      </c>
      <c r="B56" t="s">
        <v>845</v>
      </c>
      <c r="C56" t="s">
        <v>1137</v>
      </c>
      <c r="D56" t="s">
        <v>1138</v>
      </c>
      <c r="E56">
        <v>1</v>
      </c>
      <c r="F56" t="s">
        <v>1139</v>
      </c>
      <c r="H56" t="b">
        <v>0</v>
      </c>
      <c r="L56">
        <v>0</v>
      </c>
    </row>
    <row r="57" spans="1:12" x14ac:dyDescent="0.4">
      <c r="A57">
        <v>56</v>
      </c>
      <c r="B57" t="s">
        <v>845</v>
      </c>
      <c r="C57" t="s">
        <v>1137</v>
      </c>
      <c r="D57" t="s">
        <v>1140</v>
      </c>
      <c r="E57">
        <v>1</v>
      </c>
      <c r="F57" t="s">
        <v>1139</v>
      </c>
      <c r="H57" t="b">
        <v>0</v>
      </c>
      <c r="L57">
        <v>0</v>
      </c>
    </row>
    <row r="58" spans="1:12" x14ac:dyDescent="0.4">
      <c r="A58">
        <v>57</v>
      </c>
      <c r="B58" t="s">
        <v>845</v>
      </c>
      <c r="C58" t="s">
        <v>1141</v>
      </c>
      <c r="D58" t="s">
        <v>1142</v>
      </c>
      <c r="E58">
        <v>1</v>
      </c>
      <c r="F58" t="s">
        <v>1143</v>
      </c>
      <c r="H58" t="b">
        <v>0</v>
      </c>
      <c r="L58">
        <v>0</v>
      </c>
    </row>
    <row r="59" spans="1:12" x14ac:dyDescent="0.4">
      <c r="A59">
        <v>58</v>
      </c>
      <c r="B59" t="s">
        <v>845</v>
      </c>
      <c r="C59" t="s">
        <v>1144</v>
      </c>
      <c r="D59" t="s">
        <v>1145</v>
      </c>
      <c r="E59">
        <v>1</v>
      </c>
      <c r="F59" t="s">
        <v>1146</v>
      </c>
      <c r="H59" t="b">
        <v>0</v>
      </c>
      <c r="L59">
        <v>0</v>
      </c>
    </row>
    <row r="60" spans="1:12" x14ac:dyDescent="0.4">
      <c r="A60">
        <v>59</v>
      </c>
      <c r="B60" t="s">
        <v>845</v>
      </c>
      <c r="C60" t="s">
        <v>1147</v>
      </c>
      <c r="D60" t="s">
        <v>1148</v>
      </c>
      <c r="E60">
        <v>1</v>
      </c>
      <c r="F60" t="s">
        <v>1146</v>
      </c>
      <c r="H60" t="b">
        <v>0</v>
      </c>
      <c r="L60">
        <v>0</v>
      </c>
    </row>
    <row r="61" spans="1:12" x14ac:dyDescent="0.4">
      <c r="A61">
        <v>60</v>
      </c>
      <c r="B61" t="s">
        <v>845</v>
      </c>
      <c r="C61" t="s">
        <v>1149</v>
      </c>
      <c r="D61" t="s">
        <v>1150</v>
      </c>
      <c r="E61">
        <v>1</v>
      </c>
      <c r="F61" t="s">
        <v>1146</v>
      </c>
      <c r="H61" t="b">
        <v>0</v>
      </c>
      <c r="L61">
        <v>0</v>
      </c>
    </row>
    <row r="62" spans="1:12" x14ac:dyDescent="0.4">
      <c r="A62">
        <v>61</v>
      </c>
      <c r="B62" t="s">
        <v>845</v>
      </c>
      <c r="C62" t="s">
        <v>1151</v>
      </c>
      <c r="D62" t="s">
        <v>1152</v>
      </c>
      <c r="E62">
        <v>1</v>
      </c>
      <c r="F62" t="s">
        <v>1132</v>
      </c>
      <c r="H62" t="b">
        <v>0</v>
      </c>
      <c r="L62">
        <v>0</v>
      </c>
    </row>
    <row r="63" spans="1:12" x14ac:dyDescent="0.4">
      <c r="A63">
        <v>62</v>
      </c>
      <c r="B63" t="s">
        <v>845</v>
      </c>
      <c r="C63" t="s">
        <v>1153</v>
      </c>
      <c r="D63" t="s">
        <v>1154</v>
      </c>
      <c r="E63">
        <v>1</v>
      </c>
      <c r="F63" t="s">
        <v>1155</v>
      </c>
      <c r="H63" t="b">
        <v>0</v>
      </c>
      <c r="L63">
        <v>0</v>
      </c>
    </row>
    <row r="64" spans="1:12" x14ac:dyDescent="0.4">
      <c r="A64">
        <v>63</v>
      </c>
      <c r="B64" t="s">
        <v>845</v>
      </c>
      <c r="C64" t="s">
        <v>1156</v>
      </c>
      <c r="D64" t="s">
        <v>1157</v>
      </c>
      <c r="E64">
        <v>1</v>
      </c>
      <c r="F64" t="s">
        <v>1119</v>
      </c>
      <c r="H64" t="b">
        <v>0</v>
      </c>
      <c r="L64">
        <v>0</v>
      </c>
    </row>
    <row r="65" spans="1:12" x14ac:dyDescent="0.4">
      <c r="A65">
        <v>64</v>
      </c>
      <c r="B65" t="s">
        <v>845</v>
      </c>
      <c r="C65" t="s">
        <v>1158</v>
      </c>
      <c r="D65" t="s">
        <v>1159</v>
      </c>
      <c r="E65">
        <v>1</v>
      </c>
      <c r="F65" t="s">
        <v>1160</v>
      </c>
      <c r="H65" t="b">
        <v>0</v>
      </c>
      <c r="L65">
        <v>0</v>
      </c>
    </row>
    <row r="66" spans="1:12" x14ac:dyDescent="0.4">
      <c r="A66">
        <v>65</v>
      </c>
      <c r="B66" t="s">
        <v>845</v>
      </c>
      <c r="C66" t="s">
        <v>1161</v>
      </c>
      <c r="D66" t="s">
        <v>1162</v>
      </c>
      <c r="E66">
        <v>1</v>
      </c>
      <c r="F66" t="s">
        <v>1163</v>
      </c>
      <c r="H66" t="b">
        <v>0</v>
      </c>
      <c r="L66">
        <v>0</v>
      </c>
    </row>
    <row r="67" spans="1:12" x14ac:dyDescent="0.4">
      <c r="A67">
        <v>66</v>
      </c>
      <c r="B67" t="s">
        <v>845</v>
      </c>
      <c r="C67" t="s">
        <v>1164</v>
      </c>
      <c r="D67" t="s">
        <v>1165</v>
      </c>
      <c r="E67">
        <v>1</v>
      </c>
      <c r="F67" t="s">
        <v>1166</v>
      </c>
      <c r="H67" t="b">
        <v>0</v>
      </c>
      <c r="L67">
        <v>0</v>
      </c>
    </row>
    <row r="68" spans="1:12" x14ac:dyDescent="0.4">
      <c r="A68">
        <v>67</v>
      </c>
      <c r="B68" t="s">
        <v>845</v>
      </c>
      <c r="C68" t="s">
        <v>1167</v>
      </c>
      <c r="D68" t="s">
        <v>1168</v>
      </c>
      <c r="E68">
        <v>1</v>
      </c>
      <c r="F68" t="s">
        <v>1169</v>
      </c>
      <c r="H68" t="b">
        <v>0</v>
      </c>
      <c r="L68">
        <v>0</v>
      </c>
    </row>
    <row r="69" spans="1:12" x14ac:dyDescent="0.4">
      <c r="A69">
        <v>68</v>
      </c>
      <c r="B69" t="s">
        <v>845</v>
      </c>
      <c r="C69" t="s">
        <v>1167</v>
      </c>
      <c r="D69" t="s">
        <v>1170</v>
      </c>
      <c r="E69">
        <v>1</v>
      </c>
      <c r="F69" t="s">
        <v>1169</v>
      </c>
      <c r="H69" t="b">
        <v>0</v>
      </c>
      <c r="L69">
        <v>0</v>
      </c>
    </row>
    <row r="70" spans="1:12" x14ac:dyDescent="0.4">
      <c r="A70">
        <v>69</v>
      </c>
      <c r="B70" t="s">
        <v>845</v>
      </c>
      <c r="C70" t="s">
        <v>1167</v>
      </c>
      <c r="D70" t="s">
        <v>1171</v>
      </c>
      <c r="E70">
        <v>1</v>
      </c>
      <c r="F70" t="s">
        <v>1169</v>
      </c>
      <c r="H70" t="b">
        <v>0</v>
      </c>
      <c r="L70">
        <v>0</v>
      </c>
    </row>
    <row r="71" spans="1:12" x14ac:dyDescent="0.4">
      <c r="A71">
        <v>70</v>
      </c>
      <c r="B71" t="s">
        <v>845</v>
      </c>
      <c r="C71" t="s">
        <v>1172</v>
      </c>
      <c r="D71" t="s">
        <v>1173</v>
      </c>
      <c r="E71">
        <v>1</v>
      </c>
      <c r="F71" t="s">
        <v>1174</v>
      </c>
      <c r="H71" t="b">
        <v>0</v>
      </c>
      <c r="L71">
        <v>0</v>
      </c>
    </row>
    <row r="72" spans="1:12" x14ac:dyDescent="0.4">
      <c r="A72">
        <v>71</v>
      </c>
      <c r="B72" t="s">
        <v>845</v>
      </c>
      <c r="C72" t="s">
        <v>1175</v>
      </c>
      <c r="D72" t="s">
        <v>1176</v>
      </c>
      <c r="E72">
        <v>1</v>
      </c>
      <c r="F72" t="s">
        <v>1177</v>
      </c>
      <c r="H72" t="b">
        <v>0</v>
      </c>
      <c r="L72">
        <v>0</v>
      </c>
    </row>
    <row r="73" spans="1:12" x14ac:dyDescent="0.4">
      <c r="A73">
        <v>72</v>
      </c>
      <c r="B73" t="s">
        <v>845</v>
      </c>
      <c r="C73" t="s">
        <v>1175</v>
      </c>
      <c r="D73" t="s">
        <v>1178</v>
      </c>
      <c r="E73">
        <v>1</v>
      </c>
      <c r="F73" t="s">
        <v>1177</v>
      </c>
      <c r="H73" t="b">
        <v>0</v>
      </c>
      <c r="L73">
        <v>0</v>
      </c>
    </row>
    <row r="74" spans="1:12" x14ac:dyDescent="0.4">
      <c r="A74">
        <v>73</v>
      </c>
      <c r="B74" t="s">
        <v>845</v>
      </c>
      <c r="C74" t="s">
        <v>1175</v>
      </c>
      <c r="D74" t="s">
        <v>1179</v>
      </c>
      <c r="E74">
        <v>1</v>
      </c>
      <c r="F74" t="s">
        <v>1177</v>
      </c>
      <c r="H74" t="b">
        <v>0</v>
      </c>
      <c r="L74">
        <v>0</v>
      </c>
    </row>
    <row r="75" spans="1:12" x14ac:dyDescent="0.4">
      <c r="A75">
        <v>74</v>
      </c>
      <c r="B75" t="s">
        <v>845</v>
      </c>
      <c r="C75" t="s">
        <v>1180</v>
      </c>
      <c r="D75" t="s">
        <v>1181</v>
      </c>
      <c r="E75">
        <v>1</v>
      </c>
      <c r="F75" t="s">
        <v>1174</v>
      </c>
      <c r="H75" t="b">
        <v>0</v>
      </c>
      <c r="L75">
        <v>0</v>
      </c>
    </row>
    <row r="76" spans="1:12" x14ac:dyDescent="0.4">
      <c r="A76">
        <v>75</v>
      </c>
      <c r="B76" t="s">
        <v>845</v>
      </c>
      <c r="C76" t="s">
        <v>1182</v>
      </c>
      <c r="D76" t="s">
        <v>1183</v>
      </c>
      <c r="E76">
        <v>1</v>
      </c>
      <c r="F76" t="s">
        <v>1184</v>
      </c>
      <c r="H76" t="b">
        <v>0</v>
      </c>
      <c r="L76">
        <v>0</v>
      </c>
    </row>
    <row r="77" spans="1:12" x14ac:dyDescent="0.4">
      <c r="A77">
        <v>76</v>
      </c>
      <c r="B77" t="s">
        <v>845</v>
      </c>
      <c r="C77" t="s">
        <v>1185</v>
      </c>
      <c r="D77" t="s">
        <v>1186</v>
      </c>
      <c r="E77">
        <v>1</v>
      </c>
      <c r="F77" t="s">
        <v>1155</v>
      </c>
      <c r="H77" t="b">
        <v>0</v>
      </c>
      <c r="L77">
        <v>0</v>
      </c>
    </row>
    <row r="78" spans="1:12" x14ac:dyDescent="0.4">
      <c r="A78">
        <v>77</v>
      </c>
      <c r="B78" t="s">
        <v>845</v>
      </c>
      <c r="C78" t="s">
        <v>1185</v>
      </c>
      <c r="D78" t="s">
        <v>1187</v>
      </c>
      <c r="E78">
        <v>1</v>
      </c>
      <c r="F78" t="s">
        <v>1155</v>
      </c>
      <c r="H78" t="b">
        <v>0</v>
      </c>
      <c r="L78">
        <v>0</v>
      </c>
    </row>
    <row r="79" spans="1:12" x14ac:dyDescent="0.4">
      <c r="A79">
        <v>78</v>
      </c>
      <c r="B79" t="s">
        <v>845</v>
      </c>
      <c r="C79" t="s">
        <v>1185</v>
      </c>
      <c r="D79" t="s">
        <v>1188</v>
      </c>
      <c r="E79">
        <v>1</v>
      </c>
      <c r="F79" t="s">
        <v>1155</v>
      </c>
      <c r="H79" t="b">
        <v>0</v>
      </c>
      <c r="L79">
        <v>0</v>
      </c>
    </row>
    <row r="80" spans="1:12" x14ac:dyDescent="0.4">
      <c r="A80">
        <v>79</v>
      </c>
      <c r="B80" t="s">
        <v>845</v>
      </c>
      <c r="C80" t="s">
        <v>1189</v>
      </c>
      <c r="D80" t="s">
        <v>1190</v>
      </c>
      <c r="E80">
        <v>1</v>
      </c>
      <c r="F80" t="s">
        <v>1191</v>
      </c>
      <c r="H80" t="b">
        <v>0</v>
      </c>
      <c r="L80">
        <v>0</v>
      </c>
    </row>
    <row r="81" spans="1:12" x14ac:dyDescent="0.4">
      <c r="A81">
        <v>80</v>
      </c>
      <c r="B81" t="s">
        <v>845</v>
      </c>
      <c r="C81" t="s">
        <v>1192</v>
      </c>
      <c r="D81" t="s">
        <v>1193</v>
      </c>
      <c r="E81">
        <v>1</v>
      </c>
      <c r="F81" t="s">
        <v>1194</v>
      </c>
      <c r="H81" t="b">
        <v>0</v>
      </c>
      <c r="L81">
        <v>0</v>
      </c>
    </row>
    <row r="82" spans="1:12" x14ac:dyDescent="0.4">
      <c r="A82">
        <v>81</v>
      </c>
      <c r="B82" t="s">
        <v>845</v>
      </c>
      <c r="C82" t="s">
        <v>1195</v>
      </c>
      <c r="D82" t="s">
        <v>1196</v>
      </c>
      <c r="E82">
        <v>1</v>
      </c>
      <c r="F82" t="s">
        <v>1194</v>
      </c>
      <c r="H82" t="b">
        <v>0</v>
      </c>
      <c r="L82">
        <v>0</v>
      </c>
    </row>
    <row r="83" spans="1:12" x14ac:dyDescent="0.4">
      <c r="A83">
        <v>82</v>
      </c>
      <c r="B83" t="s">
        <v>845</v>
      </c>
      <c r="C83" t="s">
        <v>1195</v>
      </c>
      <c r="D83" t="s">
        <v>1197</v>
      </c>
      <c r="E83">
        <v>1</v>
      </c>
      <c r="F83" t="s">
        <v>1194</v>
      </c>
      <c r="H83" t="b">
        <v>0</v>
      </c>
      <c r="L83">
        <v>0</v>
      </c>
    </row>
    <row r="84" spans="1:12" x14ac:dyDescent="0.4">
      <c r="A84">
        <v>83</v>
      </c>
      <c r="B84" t="s">
        <v>845</v>
      </c>
      <c r="C84" t="s">
        <v>1195</v>
      </c>
      <c r="D84" t="s">
        <v>1198</v>
      </c>
      <c r="E84">
        <v>1</v>
      </c>
      <c r="F84" t="s">
        <v>1199</v>
      </c>
      <c r="H84" t="b">
        <v>0</v>
      </c>
      <c r="L84">
        <v>0</v>
      </c>
    </row>
    <row r="85" spans="1:12" x14ac:dyDescent="0.4">
      <c r="A85">
        <v>84</v>
      </c>
      <c r="B85" t="s">
        <v>845</v>
      </c>
      <c r="C85" t="s">
        <v>1200</v>
      </c>
      <c r="D85" t="s">
        <v>1201</v>
      </c>
      <c r="E85">
        <v>1</v>
      </c>
      <c r="F85" t="s">
        <v>1119</v>
      </c>
      <c r="H85" t="b">
        <v>0</v>
      </c>
      <c r="L85">
        <v>0</v>
      </c>
    </row>
    <row r="86" spans="1:12" x14ac:dyDescent="0.4">
      <c r="A86">
        <v>85</v>
      </c>
      <c r="B86" t="s">
        <v>845</v>
      </c>
      <c r="C86" t="s">
        <v>1202</v>
      </c>
      <c r="D86" t="s">
        <v>1165</v>
      </c>
      <c r="E86">
        <v>1</v>
      </c>
      <c r="F86" t="s">
        <v>1166</v>
      </c>
      <c r="H86" t="b">
        <v>0</v>
      </c>
      <c r="L86">
        <v>0</v>
      </c>
    </row>
    <row r="87" spans="1:12" x14ac:dyDescent="0.4">
      <c r="A87">
        <v>86</v>
      </c>
      <c r="B87" t="s">
        <v>845</v>
      </c>
      <c r="C87" t="s">
        <v>1203</v>
      </c>
      <c r="D87" t="s">
        <v>1204</v>
      </c>
      <c r="E87">
        <v>1</v>
      </c>
      <c r="F87" t="s">
        <v>1139</v>
      </c>
      <c r="H87" t="b">
        <v>0</v>
      </c>
      <c r="L87">
        <v>0</v>
      </c>
    </row>
    <row r="88" spans="1:12" x14ac:dyDescent="0.4">
      <c r="A88">
        <v>87</v>
      </c>
      <c r="B88" t="s">
        <v>845</v>
      </c>
      <c r="C88" t="s">
        <v>1203</v>
      </c>
      <c r="D88" t="s">
        <v>1205</v>
      </c>
      <c r="E88">
        <v>1</v>
      </c>
      <c r="F88" t="s">
        <v>1139</v>
      </c>
      <c r="H88" t="b">
        <v>0</v>
      </c>
      <c r="L88">
        <v>0</v>
      </c>
    </row>
    <row r="89" spans="1:12" x14ac:dyDescent="0.4">
      <c r="A89">
        <v>88</v>
      </c>
      <c r="B89" t="s">
        <v>845</v>
      </c>
      <c r="C89" t="s">
        <v>1206</v>
      </c>
      <c r="D89" t="s">
        <v>1207</v>
      </c>
      <c r="E89">
        <v>1</v>
      </c>
      <c r="F89" t="s">
        <v>1208</v>
      </c>
      <c r="H89" t="b">
        <v>0</v>
      </c>
      <c r="L89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3"/>
  <sheetViews>
    <sheetView zoomScaleNormal="100" workbookViewId="0">
      <pane ySplit="1" topLeftCell="A4" activePane="bottomLeft" state="frozen"/>
      <selection pane="bottomLeft" activeCell="C28" sqref="C28"/>
    </sheetView>
  </sheetViews>
  <sheetFormatPr defaultColWidth="8.69140625" defaultRowHeight="14.6" x14ac:dyDescent="0.4"/>
  <cols>
    <col min="1" max="1" width="5" customWidth="1"/>
    <col min="2" max="2" width="12" customWidth="1"/>
    <col min="3" max="3" width="35" customWidth="1"/>
    <col min="4" max="4" width="16" customWidth="1"/>
    <col min="5" max="5" width="6" customWidth="1"/>
    <col min="6" max="7" width="14" customWidth="1"/>
    <col min="8" max="9" width="20" customWidth="1"/>
    <col min="10" max="10" width="22" customWidth="1"/>
    <col min="11" max="11" width="26" customWidth="1"/>
    <col min="12" max="12" width="10" customWidth="1"/>
  </cols>
  <sheetData>
    <row r="1" spans="1:12" ht="24.9" customHeight="1" x14ac:dyDescent="0.4">
      <c r="A1" s="10" t="s">
        <v>118</v>
      </c>
      <c r="B1" s="10" t="s">
        <v>121</v>
      </c>
      <c r="C1" s="10" t="s">
        <v>1008</v>
      </c>
      <c r="D1" s="10" t="s">
        <v>799</v>
      </c>
      <c r="E1" s="10" t="s">
        <v>6</v>
      </c>
      <c r="F1" s="10" t="s">
        <v>1009</v>
      </c>
      <c r="G1" s="10" t="s">
        <v>800</v>
      </c>
      <c r="H1" s="10" t="s">
        <v>1010</v>
      </c>
      <c r="I1" s="10" t="s">
        <v>129</v>
      </c>
      <c r="J1" s="10" t="s">
        <v>130</v>
      </c>
      <c r="K1" s="10" t="s">
        <v>131</v>
      </c>
      <c r="L1" s="10" t="s">
        <v>132</v>
      </c>
    </row>
    <row r="2" spans="1:12" x14ac:dyDescent="0.4">
      <c r="A2">
        <v>1</v>
      </c>
      <c r="B2" t="s">
        <v>1365</v>
      </c>
      <c r="C2" t="s">
        <v>1209</v>
      </c>
      <c r="D2" t="s">
        <v>1210</v>
      </c>
      <c r="E2">
        <v>1</v>
      </c>
      <c r="F2" t="s">
        <v>1211</v>
      </c>
      <c r="H2" t="b">
        <v>1</v>
      </c>
      <c r="L2">
        <v>0</v>
      </c>
    </row>
    <row r="3" spans="1:12" x14ac:dyDescent="0.4">
      <c r="A3">
        <v>2</v>
      </c>
      <c r="B3" t="s">
        <v>1365</v>
      </c>
      <c r="C3" t="s">
        <v>1212</v>
      </c>
      <c r="D3" t="s">
        <v>1213</v>
      </c>
      <c r="E3">
        <v>1</v>
      </c>
      <c r="F3" t="s">
        <v>1211</v>
      </c>
      <c r="H3" t="b">
        <v>0</v>
      </c>
      <c r="L3">
        <v>0</v>
      </c>
    </row>
    <row r="4" spans="1:12" x14ac:dyDescent="0.4">
      <c r="A4">
        <v>3</v>
      </c>
      <c r="B4" t="s">
        <v>1365</v>
      </c>
      <c r="C4" t="s">
        <v>1212</v>
      </c>
      <c r="D4" t="s">
        <v>1214</v>
      </c>
      <c r="E4">
        <v>1</v>
      </c>
      <c r="F4" t="s">
        <v>1211</v>
      </c>
      <c r="H4" t="b">
        <v>0</v>
      </c>
      <c r="L4">
        <v>0</v>
      </c>
    </row>
    <row r="5" spans="1:12" x14ac:dyDescent="0.4">
      <c r="A5">
        <v>4</v>
      </c>
      <c r="B5" t="s">
        <v>1365</v>
      </c>
      <c r="C5" t="s">
        <v>1215</v>
      </c>
      <c r="D5" t="s">
        <v>1216</v>
      </c>
      <c r="E5">
        <v>1</v>
      </c>
      <c r="F5" t="s">
        <v>1211</v>
      </c>
      <c r="H5" t="b">
        <v>0</v>
      </c>
      <c r="L5">
        <v>0</v>
      </c>
    </row>
    <row r="6" spans="1:12" x14ac:dyDescent="0.4">
      <c r="A6">
        <v>5</v>
      </c>
      <c r="B6" t="s">
        <v>1365</v>
      </c>
      <c r="C6" t="s">
        <v>1217</v>
      </c>
      <c r="D6" t="s">
        <v>1218</v>
      </c>
      <c r="E6">
        <v>1</v>
      </c>
      <c r="F6" t="s">
        <v>1219</v>
      </c>
      <c r="H6" t="b">
        <v>0</v>
      </c>
      <c r="L6">
        <v>0</v>
      </c>
    </row>
    <row r="7" spans="1:12" x14ac:dyDescent="0.4">
      <c r="A7">
        <v>6</v>
      </c>
      <c r="B7" t="s">
        <v>1365</v>
      </c>
      <c r="C7" t="s">
        <v>1217</v>
      </c>
      <c r="D7" t="s">
        <v>1220</v>
      </c>
      <c r="E7">
        <v>1</v>
      </c>
      <c r="F7" t="s">
        <v>1219</v>
      </c>
      <c r="H7" t="b">
        <v>0</v>
      </c>
      <c r="L7">
        <v>0</v>
      </c>
    </row>
    <row r="8" spans="1:12" x14ac:dyDescent="0.4">
      <c r="A8">
        <v>7</v>
      </c>
      <c r="B8" t="s">
        <v>1365</v>
      </c>
      <c r="C8" t="s">
        <v>1217</v>
      </c>
      <c r="D8" t="s">
        <v>1221</v>
      </c>
      <c r="E8">
        <v>1</v>
      </c>
      <c r="F8" t="s">
        <v>1219</v>
      </c>
      <c r="H8" t="b">
        <v>0</v>
      </c>
      <c r="L8">
        <v>0</v>
      </c>
    </row>
    <row r="9" spans="1:12" x14ac:dyDescent="0.4">
      <c r="A9">
        <v>8</v>
      </c>
      <c r="B9" t="s">
        <v>1365</v>
      </c>
      <c r="C9" t="s">
        <v>1222</v>
      </c>
      <c r="D9" t="s">
        <v>1223</v>
      </c>
      <c r="E9">
        <v>1</v>
      </c>
      <c r="F9" t="s">
        <v>1219</v>
      </c>
      <c r="H9" t="b">
        <v>0</v>
      </c>
      <c r="L9">
        <v>0</v>
      </c>
    </row>
    <row r="10" spans="1:12" x14ac:dyDescent="0.4">
      <c r="A10">
        <v>9</v>
      </c>
      <c r="B10" t="s">
        <v>1365</v>
      </c>
      <c r="C10" t="s">
        <v>1222</v>
      </c>
      <c r="D10" t="s">
        <v>1224</v>
      </c>
      <c r="E10">
        <v>1</v>
      </c>
      <c r="F10" t="s">
        <v>1219</v>
      </c>
      <c r="H10" t="b">
        <v>0</v>
      </c>
      <c r="L10">
        <v>0</v>
      </c>
    </row>
    <row r="11" spans="1:12" x14ac:dyDescent="0.4">
      <c r="A11">
        <v>10</v>
      </c>
      <c r="B11" t="s">
        <v>1365</v>
      </c>
      <c r="C11" t="s">
        <v>1222</v>
      </c>
      <c r="D11" t="s">
        <v>1225</v>
      </c>
      <c r="E11">
        <v>1</v>
      </c>
      <c r="F11" t="s">
        <v>1219</v>
      </c>
      <c r="H11" t="b">
        <v>0</v>
      </c>
      <c r="L11">
        <v>0</v>
      </c>
    </row>
    <row r="12" spans="1:12" x14ac:dyDescent="0.4">
      <c r="A12">
        <v>11</v>
      </c>
      <c r="B12" t="s">
        <v>1365</v>
      </c>
      <c r="C12" t="s">
        <v>1226</v>
      </c>
      <c r="D12" t="s">
        <v>1227</v>
      </c>
      <c r="E12">
        <v>1</v>
      </c>
      <c r="F12" t="s">
        <v>1219</v>
      </c>
      <c r="H12" t="b">
        <v>0</v>
      </c>
      <c r="L12">
        <v>0</v>
      </c>
    </row>
    <row r="13" spans="1:12" x14ac:dyDescent="0.4">
      <c r="A13">
        <v>12</v>
      </c>
      <c r="B13" t="s">
        <v>1365</v>
      </c>
      <c r="C13" t="s">
        <v>1228</v>
      </c>
      <c r="D13" t="s">
        <v>1229</v>
      </c>
      <c r="E13">
        <v>1</v>
      </c>
      <c r="F13" t="s">
        <v>1211</v>
      </c>
      <c r="H13" t="b">
        <v>0</v>
      </c>
      <c r="L13">
        <v>0</v>
      </c>
    </row>
    <row r="14" spans="1:12" x14ac:dyDescent="0.4">
      <c r="A14">
        <v>13</v>
      </c>
      <c r="B14" t="s">
        <v>1365</v>
      </c>
      <c r="C14" t="s">
        <v>1228</v>
      </c>
      <c r="D14" t="s">
        <v>1230</v>
      </c>
      <c r="E14">
        <v>1</v>
      </c>
      <c r="F14" t="s">
        <v>1211</v>
      </c>
      <c r="H14" t="b">
        <v>0</v>
      </c>
      <c r="L14">
        <v>0</v>
      </c>
    </row>
    <row r="15" spans="1:12" x14ac:dyDescent="0.4">
      <c r="A15">
        <v>14</v>
      </c>
      <c r="B15" t="s">
        <v>1365</v>
      </c>
      <c r="C15" t="s">
        <v>1228</v>
      </c>
      <c r="D15" t="s">
        <v>1231</v>
      </c>
      <c r="E15">
        <v>1</v>
      </c>
      <c r="F15" t="s">
        <v>1211</v>
      </c>
      <c r="H15" t="b">
        <v>0</v>
      </c>
      <c r="L15">
        <v>0</v>
      </c>
    </row>
    <row r="16" spans="1:12" x14ac:dyDescent="0.4">
      <c r="A16">
        <v>15</v>
      </c>
      <c r="B16" t="s">
        <v>1365</v>
      </c>
      <c r="C16" t="s">
        <v>1232</v>
      </c>
      <c r="D16" t="s">
        <v>1233</v>
      </c>
      <c r="E16">
        <v>1</v>
      </c>
      <c r="F16" t="s">
        <v>1219</v>
      </c>
      <c r="H16" t="b">
        <v>0</v>
      </c>
      <c r="L16">
        <v>0</v>
      </c>
    </row>
    <row r="17" spans="1:12" x14ac:dyDescent="0.4">
      <c r="A17">
        <v>16</v>
      </c>
      <c r="B17" t="s">
        <v>1365</v>
      </c>
      <c r="C17" t="s">
        <v>1232</v>
      </c>
      <c r="D17" t="s">
        <v>1234</v>
      </c>
      <c r="E17">
        <v>1</v>
      </c>
      <c r="F17" t="s">
        <v>1219</v>
      </c>
      <c r="H17" t="b">
        <v>0</v>
      </c>
      <c r="L17">
        <v>0</v>
      </c>
    </row>
    <row r="18" spans="1:12" x14ac:dyDescent="0.4">
      <c r="A18">
        <v>17</v>
      </c>
      <c r="B18" t="s">
        <v>1365</v>
      </c>
      <c r="C18" t="s">
        <v>1232</v>
      </c>
      <c r="D18" t="s">
        <v>1235</v>
      </c>
      <c r="E18">
        <v>1</v>
      </c>
      <c r="F18" t="s">
        <v>1219</v>
      </c>
      <c r="H18" t="b">
        <v>0</v>
      </c>
      <c r="L18">
        <v>0</v>
      </c>
    </row>
    <row r="19" spans="1:12" x14ac:dyDescent="0.4">
      <c r="A19">
        <v>18</v>
      </c>
      <c r="B19" t="s">
        <v>845</v>
      </c>
      <c r="C19" t="s">
        <v>1236</v>
      </c>
      <c r="D19" t="s">
        <v>1237</v>
      </c>
      <c r="E19">
        <v>1</v>
      </c>
      <c r="F19" t="s">
        <v>1238</v>
      </c>
      <c r="H19" t="b">
        <v>0</v>
      </c>
      <c r="L19">
        <v>0</v>
      </c>
    </row>
    <row r="20" spans="1:12" x14ac:dyDescent="0.4">
      <c r="A20">
        <v>19</v>
      </c>
      <c r="B20" t="s">
        <v>845</v>
      </c>
      <c r="C20" t="s">
        <v>1239</v>
      </c>
      <c r="D20" t="s">
        <v>1240</v>
      </c>
      <c r="E20">
        <v>1</v>
      </c>
      <c r="F20" t="s">
        <v>1238</v>
      </c>
      <c r="H20" t="b">
        <v>0</v>
      </c>
      <c r="L20">
        <v>0</v>
      </c>
    </row>
    <row r="21" spans="1:12" x14ac:dyDescent="0.4">
      <c r="A21">
        <v>20</v>
      </c>
      <c r="B21" t="s">
        <v>1366</v>
      </c>
      <c r="C21" t="s">
        <v>1241</v>
      </c>
      <c r="D21" t="s">
        <v>1242</v>
      </c>
      <c r="E21">
        <v>1</v>
      </c>
      <c r="F21" t="s">
        <v>1243</v>
      </c>
      <c r="H21" t="b">
        <v>0</v>
      </c>
      <c r="L21">
        <v>0</v>
      </c>
    </row>
    <row r="22" spans="1:12" x14ac:dyDescent="0.4">
      <c r="A22">
        <v>21</v>
      </c>
      <c r="B22" t="s">
        <v>1366</v>
      </c>
      <c r="C22" t="s">
        <v>1241</v>
      </c>
      <c r="D22" t="s">
        <v>1244</v>
      </c>
      <c r="E22">
        <v>1</v>
      </c>
      <c r="F22" t="s">
        <v>1243</v>
      </c>
      <c r="H22" t="b">
        <v>0</v>
      </c>
      <c r="L22">
        <v>0</v>
      </c>
    </row>
    <row r="23" spans="1:12" x14ac:dyDescent="0.4">
      <c r="A23">
        <v>22</v>
      </c>
      <c r="B23" t="s">
        <v>1366</v>
      </c>
      <c r="C23" t="s">
        <v>1245</v>
      </c>
      <c r="D23" t="s">
        <v>1246</v>
      </c>
      <c r="E23">
        <v>1</v>
      </c>
      <c r="F23" t="s">
        <v>1243</v>
      </c>
      <c r="H23" t="b">
        <v>0</v>
      </c>
      <c r="L23">
        <v>0</v>
      </c>
    </row>
    <row r="24" spans="1:12" x14ac:dyDescent="0.4">
      <c r="A24">
        <v>23</v>
      </c>
      <c r="B24" t="s">
        <v>1366</v>
      </c>
      <c r="C24" t="s">
        <v>1245</v>
      </c>
      <c r="D24" t="s">
        <v>1247</v>
      </c>
      <c r="E24">
        <v>1</v>
      </c>
      <c r="F24" t="s">
        <v>1243</v>
      </c>
      <c r="H24" t="b">
        <v>0</v>
      </c>
      <c r="L24">
        <v>0</v>
      </c>
    </row>
    <row r="25" spans="1:12" x14ac:dyDescent="0.4">
      <c r="A25">
        <v>24</v>
      </c>
      <c r="B25" t="s">
        <v>845</v>
      </c>
      <c r="C25" t="s">
        <v>1248</v>
      </c>
      <c r="D25" t="s">
        <v>1249</v>
      </c>
      <c r="E25">
        <v>1</v>
      </c>
      <c r="F25" t="s">
        <v>1211</v>
      </c>
      <c r="H25" t="b">
        <v>0</v>
      </c>
      <c r="L25">
        <v>0</v>
      </c>
    </row>
    <row r="26" spans="1:12" x14ac:dyDescent="0.4">
      <c r="A26">
        <v>25</v>
      </c>
      <c r="B26" t="s">
        <v>845</v>
      </c>
      <c r="C26" t="s">
        <v>1250</v>
      </c>
      <c r="D26" t="s">
        <v>1251</v>
      </c>
      <c r="E26">
        <v>1</v>
      </c>
      <c r="F26" t="s">
        <v>1211</v>
      </c>
      <c r="H26" t="b">
        <v>0</v>
      </c>
      <c r="L26">
        <v>0</v>
      </c>
    </row>
    <row r="27" spans="1:12" x14ac:dyDescent="0.4">
      <c r="A27">
        <v>26</v>
      </c>
      <c r="B27" t="s">
        <v>845</v>
      </c>
      <c r="C27" t="s">
        <v>1252</v>
      </c>
      <c r="D27" t="s">
        <v>1253</v>
      </c>
      <c r="E27">
        <v>1</v>
      </c>
      <c r="F27" t="s">
        <v>1211</v>
      </c>
      <c r="H27" t="b">
        <v>0</v>
      </c>
      <c r="L27">
        <v>0</v>
      </c>
    </row>
    <row r="28" spans="1:12" x14ac:dyDescent="0.4">
      <c r="A28">
        <v>27</v>
      </c>
      <c r="B28" t="s">
        <v>845</v>
      </c>
      <c r="C28" t="s">
        <v>1254</v>
      </c>
      <c r="D28" t="s">
        <v>1255</v>
      </c>
      <c r="E28">
        <v>1</v>
      </c>
      <c r="F28" t="s">
        <v>1256</v>
      </c>
      <c r="H28" t="b">
        <v>0</v>
      </c>
      <c r="L28">
        <v>0</v>
      </c>
    </row>
    <row r="29" spans="1:12" x14ac:dyDescent="0.4">
      <c r="A29">
        <v>28</v>
      </c>
      <c r="B29" t="s">
        <v>845</v>
      </c>
      <c r="C29" t="s">
        <v>1254</v>
      </c>
      <c r="D29" t="s">
        <v>1257</v>
      </c>
      <c r="E29">
        <v>1</v>
      </c>
      <c r="F29" t="s">
        <v>1256</v>
      </c>
      <c r="H29" t="b">
        <v>0</v>
      </c>
      <c r="L29">
        <v>0</v>
      </c>
    </row>
    <row r="30" spans="1:12" x14ac:dyDescent="0.4">
      <c r="A30">
        <v>29</v>
      </c>
      <c r="B30" t="s">
        <v>845</v>
      </c>
      <c r="C30" t="s">
        <v>1258</v>
      </c>
      <c r="D30" t="s">
        <v>1259</v>
      </c>
      <c r="E30">
        <v>1</v>
      </c>
      <c r="F30" t="s">
        <v>1260</v>
      </c>
      <c r="H30" t="b">
        <v>0</v>
      </c>
      <c r="L30">
        <v>0</v>
      </c>
    </row>
    <row r="31" spans="1:12" x14ac:dyDescent="0.4">
      <c r="A31">
        <v>30</v>
      </c>
      <c r="B31" t="s">
        <v>845</v>
      </c>
      <c r="C31" t="s">
        <v>1261</v>
      </c>
      <c r="D31" t="s">
        <v>1262</v>
      </c>
      <c r="E31">
        <v>1</v>
      </c>
      <c r="F31" t="s">
        <v>1256</v>
      </c>
      <c r="H31" t="b">
        <v>0</v>
      </c>
      <c r="L31">
        <v>0</v>
      </c>
    </row>
    <row r="32" spans="1:12" x14ac:dyDescent="0.4">
      <c r="A32">
        <v>31</v>
      </c>
      <c r="B32" t="s">
        <v>845</v>
      </c>
      <c r="C32" t="s">
        <v>1263</v>
      </c>
      <c r="D32" t="s">
        <v>1264</v>
      </c>
      <c r="E32">
        <v>1</v>
      </c>
      <c r="F32" t="s">
        <v>1256</v>
      </c>
      <c r="H32" t="b">
        <v>0</v>
      </c>
      <c r="L32">
        <v>0</v>
      </c>
    </row>
    <row r="33" spans="1:12" x14ac:dyDescent="0.4">
      <c r="A33">
        <v>32</v>
      </c>
      <c r="B33" t="s">
        <v>845</v>
      </c>
      <c r="C33" t="s">
        <v>1265</v>
      </c>
      <c r="D33" t="s">
        <v>1266</v>
      </c>
      <c r="E33">
        <v>1</v>
      </c>
      <c r="F33" t="s">
        <v>1238</v>
      </c>
      <c r="H33" t="b">
        <v>0</v>
      </c>
      <c r="L3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34"/>
  <sheetViews>
    <sheetView zoomScaleNormal="100" workbookViewId="0">
      <pane ySplit="1" topLeftCell="A4" activePane="bottomLeft" state="frozen"/>
      <selection pane="bottomLeft" activeCell="C31" sqref="C31"/>
    </sheetView>
  </sheetViews>
  <sheetFormatPr defaultColWidth="8.69140625" defaultRowHeight="14.6" x14ac:dyDescent="0.4"/>
  <cols>
    <col min="1" max="1" width="5" customWidth="1"/>
    <col min="2" max="2" width="12" customWidth="1"/>
    <col min="3" max="3" width="32" customWidth="1"/>
    <col min="4" max="4" width="16" customWidth="1"/>
    <col min="5" max="5" width="6" customWidth="1"/>
    <col min="6" max="6" width="10" customWidth="1"/>
    <col min="7" max="7" width="12" customWidth="1"/>
    <col min="8" max="8" width="16" customWidth="1"/>
    <col min="9" max="12" width="12" customWidth="1"/>
    <col min="13" max="13" width="14" customWidth="1"/>
    <col min="14" max="14" width="20" customWidth="1"/>
    <col min="15" max="15" width="12" customWidth="1"/>
    <col min="16" max="16" width="14" customWidth="1"/>
    <col min="17" max="17" width="18" customWidth="1"/>
    <col min="18" max="18" width="20" customWidth="1"/>
    <col min="19" max="19" width="26" customWidth="1"/>
    <col min="20" max="20" width="10" customWidth="1"/>
  </cols>
  <sheetData>
    <row r="1" spans="1:20" ht="24.9" customHeight="1" x14ac:dyDescent="0.4">
      <c r="A1" s="10" t="s">
        <v>118</v>
      </c>
      <c r="B1" s="10" t="s">
        <v>121</v>
      </c>
      <c r="C1" s="10" t="s">
        <v>1267</v>
      </c>
      <c r="D1" s="10" t="s">
        <v>799</v>
      </c>
      <c r="E1" s="10" t="s">
        <v>6</v>
      </c>
      <c r="F1" s="10" t="s">
        <v>1268</v>
      </c>
      <c r="G1" s="10" t="s">
        <v>1269</v>
      </c>
      <c r="H1" s="10" t="s">
        <v>1270</v>
      </c>
      <c r="I1" s="10" t="s">
        <v>1271</v>
      </c>
      <c r="J1" s="10" t="s">
        <v>1272</v>
      </c>
      <c r="K1" s="10" t="s">
        <v>1273</v>
      </c>
      <c r="L1" s="10" t="s">
        <v>1274</v>
      </c>
      <c r="M1" s="10" t="s">
        <v>1275</v>
      </c>
      <c r="N1" s="10" t="s">
        <v>1010</v>
      </c>
      <c r="O1" s="10" t="s">
        <v>1276</v>
      </c>
      <c r="P1" s="10" t="s">
        <v>800</v>
      </c>
      <c r="Q1" s="10" t="s">
        <v>129</v>
      </c>
      <c r="R1" s="10" t="s">
        <v>130</v>
      </c>
      <c r="S1" s="10" t="s">
        <v>131</v>
      </c>
      <c r="T1" s="10" t="s">
        <v>132</v>
      </c>
    </row>
    <row r="2" spans="1:20" x14ac:dyDescent="0.4">
      <c r="A2">
        <v>1</v>
      </c>
      <c r="B2" t="s">
        <v>151</v>
      </c>
      <c r="C2" t="s">
        <v>1277</v>
      </c>
      <c r="D2" t="s">
        <v>1278</v>
      </c>
      <c r="E2">
        <v>1</v>
      </c>
      <c r="F2" t="s">
        <v>1279</v>
      </c>
      <c r="G2" t="s">
        <v>1280</v>
      </c>
      <c r="H2" t="s">
        <v>1281</v>
      </c>
      <c r="N2" t="b">
        <v>0</v>
      </c>
      <c r="T2">
        <v>0</v>
      </c>
    </row>
    <row r="3" spans="1:20" x14ac:dyDescent="0.4">
      <c r="A3">
        <v>2</v>
      </c>
      <c r="B3" t="s">
        <v>151</v>
      </c>
      <c r="C3" t="s">
        <v>1282</v>
      </c>
      <c r="D3" t="s">
        <v>1283</v>
      </c>
      <c r="E3">
        <v>1</v>
      </c>
      <c r="F3" t="s">
        <v>1279</v>
      </c>
      <c r="G3" t="s">
        <v>1284</v>
      </c>
      <c r="H3" t="s">
        <v>1281</v>
      </c>
      <c r="N3" t="b">
        <v>0</v>
      </c>
      <c r="T3">
        <v>0</v>
      </c>
    </row>
    <row r="4" spans="1:20" x14ac:dyDescent="0.4">
      <c r="A4">
        <v>3</v>
      </c>
      <c r="B4" t="s">
        <v>151</v>
      </c>
      <c r="C4" t="s">
        <v>1285</v>
      </c>
      <c r="D4" t="s">
        <v>1286</v>
      </c>
      <c r="E4">
        <v>1</v>
      </c>
      <c r="F4" t="s">
        <v>1279</v>
      </c>
      <c r="G4" t="s">
        <v>1287</v>
      </c>
      <c r="H4" t="s">
        <v>1288</v>
      </c>
      <c r="N4" t="b">
        <v>0</v>
      </c>
      <c r="T4">
        <v>0</v>
      </c>
    </row>
    <row r="5" spans="1:20" x14ac:dyDescent="0.4">
      <c r="A5">
        <v>4</v>
      </c>
      <c r="B5" t="s">
        <v>151</v>
      </c>
      <c r="C5" t="s">
        <v>1289</v>
      </c>
      <c r="D5" t="s">
        <v>1290</v>
      </c>
      <c r="E5">
        <v>1</v>
      </c>
      <c r="F5" t="s">
        <v>1279</v>
      </c>
      <c r="G5" t="s">
        <v>1287</v>
      </c>
      <c r="H5" t="s">
        <v>1288</v>
      </c>
      <c r="N5" t="b">
        <v>0</v>
      </c>
      <c r="T5">
        <v>0</v>
      </c>
    </row>
    <row r="6" spans="1:20" x14ac:dyDescent="0.4">
      <c r="A6">
        <v>5</v>
      </c>
      <c r="B6" t="s">
        <v>151</v>
      </c>
      <c r="C6" t="s">
        <v>1291</v>
      </c>
      <c r="D6" t="s">
        <v>1292</v>
      </c>
      <c r="E6">
        <v>1</v>
      </c>
      <c r="F6" t="s">
        <v>1279</v>
      </c>
      <c r="G6" t="s">
        <v>1293</v>
      </c>
      <c r="H6" t="s">
        <v>1281</v>
      </c>
      <c r="N6" t="b">
        <v>0</v>
      </c>
      <c r="T6">
        <v>0</v>
      </c>
    </row>
    <row r="7" spans="1:20" x14ac:dyDescent="0.4">
      <c r="A7">
        <v>6</v>
      </c>
      <c r="B7" t="s">
        <v>151</v>
      </c>
      <c r="C7" t="s">
        <v>1294</v>
      </c>
      <c r="D7" t="s">
        <v>1295</v>
      </c>
      <c r="E7">
        <v>1</v>
      </c>
      <c r="F7" t="s">
        <v>1296</v>
      </c>
      <c r="G7" t="s">
        <v>1287</v>
      </c>
      <c r="H7" t="s">
        <v>1288</v>
      </c>
      <c r="N7" t="b">
        <v>0</v>
      </c>
      <c r="T7">
        <v>0</v>
      </c>
    </row>
    <row r="8" spans="1:20" x14ac:dyDescent="0.4">
      <c r="A8">
        <v>7</v>
      </c>
      <c r="B8" t="s">
        <v>151</v>
      </c>
      <c r="C8" t="s">
        <v>1297</v>
      </c>
      <c r="D8" t="s">
        <v>1298</v>
      </c>
      <c r="E8">
        <v>1</v>
      </c>
      <c r="F8" t="s">
        <v>1296</v>
      </c>
      <c r="G8" t="s">
        <v>1287</v>
      </c>
      <c r="H8" t="s">
        <v>1288</v>
      </c>
      <c r="N8" t="b">
        <v>0</v>
      </c>
      <c r="T8">
        <v>0</v>
      </c>
    </row>
    <row r="9" spans="1:20" x14ac:dyDescent="0.4">
      <c r="A9">
        <v>8</v>
      </c>
      <c r="B9" t="s">
        <v>151</v>
      </c>
      <c r="C9" t="s">
        <v>1299</v>
      </c>
      <c r="D9" t="s">
        <v>1300</v>
      </c>
      <c r="E9">
        <v>1</v>
      </c>
      <c r="F9" t="s">
        <v>1296</v>
      </c>
      <c r="G9" t="s">
        <v>1293</v>
      </c>
      <c r="H9" t="s">
        <v>1281</v>
      </c>
      <c r="N9" t="b">
        <v>0</v>
      </c>
      <c r="T9">
        <v>0</v>
      </c>
    </row>
    <row r="10" spans="1:20" x14ac:dyDescent="0.4">
      <c r="A10">
        <v>9</v>
      </c>
      <c r="B10" t="s">
        <v>151</v>
      </c>
      <c r="C10" t="s">
        <v>1301</v>
      </c>
      <c r="D10" t="s">
        <v>1302</v>
      </c>
      <c r="E10">
        <v>1</v>
      </c>
      <c r="F10" t="s">
        <v>1303</v>
      </c>
      <c r="G10" t="s">
        <v>1287</v>
      </c>
      <c r="N10" t="b">
        <v>0</v>
      </c>
      <c r="T10">
        <v>0</v>
      </c>
    </row>
    <row r="11" spans="1:20" x14ac:dyDescent="0.4">
      <c r="A11">
        <v>10</v>
      </c>
      <c r="B11" t="s">
        <v>151</v>
      </c>
      <c r="C11" t="s">
        <v>1304</v>
      </c>
      <c r="D11" t="s">
        <v>1305</v>
      </c>
      <c r="E11">
        <v>1</v>
      </c>
      <c r="F11" t="s">
        <v>1303</v>
      </c>
      <c r="G11" t="s">
        <v>1287</v>
      </c>
      <c r="N11" t="b">
        <v>0</v>
      </c>
      <c r="T11">
        <v>0</v>
      </c>
    </row>
    <row r="12" spans="1:20" x14ac:dyDescent="0.4">
      <c r="A12">
        <v>11</v>
      </c>
      <c r="B12" t="s">
        <v>151</v>
      </c>
      <c r="C12" t="s">
        <v>1306</v>
      </c>
      <c r="D12" t="s">
        <v>1307</v>
      </c>
      <c r="E12">
        <v>1</v>
      </c>
      <c r="F12" t="s">
        <v>1303</v>
      </c>
      <c r="G12" t="s">
        <v>1293</v>
      </c>
      <c r="N12" t="b">
        <v>0</v>
      </c>
      <c r="T12">
        <v>0</v>
      </c>
    </row>
    <row r="13" spans="1:20" x14ac:dyDescent="0.4">
      <c r="A13">
        <v>12</v>
      </c>
      <c r="B13" t="s">
        <v>151</v>
      </c>
      <c r="C13" t="s">
        <v>1308</v>
      </c>
      <c r="D13" t="s">
        <v>1309</v>
      </c>
      <c r="E13">
        <v>1</v>
      </c>
      <c r="F13" t="s">
        <v>987</v>
      </c>
      <c r="G13" t="s">
        <v>1310</v>
      </c>
      <c r="H13" t="s">
        <v>1281</v>
      </c>
      <c r="N13" t="b">
        <v>0</v>
      </c>
      <c r="T13">
        <v>0</v>
      </c>
    </row>
    <row r="14" spans="1:20" x14ac:dyDescent="0.4">
      <c r="A14">
        <v>13</v>
      </c>
      <c r="B14" t="s">
        <v>151</v>
      </c>
      <c r="C14" t="s">
        <v>1311</v>
      </c>
      <c r="D14" t="s">
        <v>1312</v>
      </c>
      <c r="E14">
        <v>1</v>
      </c>
      <c r="F14" t="s">
        <v>987</v>
      </c>
      <c r="G14" t="s">
        <v>1313</v>
      </c>
      <c r="H14" t="s">
        <v>1281</v>
      </c>
      <c r="N14" t="b">
        <v>0</v>
      </c>
      <c r="T14">
        <v>0</v>
      </c>
    </row>
    <row r="15" spans="1:20" x14ac:dyDescent="0.4">
      <c r="A15">
        <v>14</v>
      </c>
      <c r="B15" t="s">
        <v>151</v>
      </c>
      <c r="C15" t="s">
        <v>1314</v>
      </c>
      <c r="D15" t="s">
        <v>1315</v>
      </c>
      <c r="E15">
        <v>1</v>
      </c>
      <c r="F15" t="s">
        <v>987</v>
      </c>
      <c r="G15" t="s">
        <v>1287</v>
      </c>
      <c r="H15" t="s">
        <v>1281</v>
      </c>
      <c r="N15" t="b">
        <v>0</v>
      </c>
      <c r="T15">
        <v>0</v>
      </c>
    </row>
    <row r="16" spans="1:20" x14ac:dyDescent="0.4">
      <c r="A16">
        <v>15</v>
      </c>
      <c r="B16" t="s">
        <v>151</v>
      </c>
      <c r="C16" t="s">
        <v>1316</v>
      </c>
      <c r="D16" t="s">
        <v>1317</v>
      </c>
      <c r="E16">
        <v>1</v>
      </c>
      <c r="F16" t="s">
        <v>1318</v>
      </c>
      <c r="G16" t="s">
        <v>1319</v>
      </c>
      <c r="H16" t="s">
        <v>1288</v>
      </c>
      <c r="N16" t="b">
        <v>0</v>
      </c>
      <c r="T16">
        <v>0</v>
      </c>
    </row>
    <row r="17" spans="1:20" x14ac:dyDescent="0.4">
      <c r="A17">
        <v>16</v>
      </c>
      <c r="B17" t="s">
        <v>151</v>
      </c>
      <c r="C17" t="s">
        <v>1320</v>
      </c>
      <c r="D17" t="s">
        <v>1321</v>
      </c>
      <c r="E17">
        <v>1</v>
      </c>
      <c r="F17" t="s">
        <v>1318</v>
      </c>
      <c r="G17" t="s">
        <v>1322</v>
      </c>
      <c r="H17" t="s">
        <v>1281</v>
      </c>
      <c r="N17" t="b">
        <v>0</v>
      </c>
      <c r="T17">
        <v>0</v>
      </c>
    </row>
    <row r="18" spans="1:20" x14ac:dyDescent="0.4">
      <c r="A18">
        <v>17</v>
      </c>
      <c r="B18" t="s">
        <v>151</v>
      </c>
      <c r="C18" t="s">
        <v>1323</v>
      </c>
      <c r="D18" t="s">
        <v>1324</v>
      </c>
      <c r="E18">
        <v>1</v>
      </c>
      <c r="F18" t="s">
        <v>1318</v>
      </c>
      <c r="G18" t="s">
        <v>1313</v>
      </c>
      <c r="H18" t="s">
        <v>1288</v>
      </c>
      <c r="N18" t="b">
        <v>0</v>
      </c>
      <c r="T18">
        <v>0</v>
      </c>
    </row>
    <row r="19" spans="1:20" x14ac:dyDescent="0.4">
      <c r="A19">
        <v>18</v>
      </c>
      <c r="B19" t="s">
        <v>151</v>
      </c>
      <c r="C19" t="s">
        <v>1325</v>
      </c>
      <c r="D19" t="s">
        <v>1326</v>
      </c>
      <c r="E19">
        <v>1</v>
      </c>
      <c r="F19" t="s">
        <v>1318</v>
      </c>
      <c r="G19" t="s">
        <v>1327</v>
      </c>
      <c r="H19" t="s">
        <v>1281</v>
      </c>
      <c r="N19" t="b">
        <v>0</v>
      </c>
      <c r="T19">
        <v>0</v>
      </c>
    </row>
    <row r="20" spans="1:20" x14ac:dyDescent="0.4">
      <c r="A20">
        <v>19</v>
      </c>
      <c r="B20" t="s">
        <v>151</v>
      </c>
      <c r="C20" t="s">
        <v>1328</v>
      </c>
      <c r="D20" t="s">
        <v>1329</v>
      </c>
      <c r="E20">
        <v>1</v>
      </c>
      <c r="F20" t="s">
        <v>1330</v>
      </c>
      <c r="G20" t="s">
        <v>1319</v>
      </c>
      <c r="H20" t="s">
        <v>1288</v>
      </c>
      <c r="N20" t="b">
        <v>0</v>
      </c>
      <c r="T20">
        <v>0</v>
      </c>
    </row>
    <row r="21" spans="1:20" x14ac:dyDescent="0.4">
      <c r="A21">
        <v>10</v>
      </c>
      <c r="B21" t="s">
        <v>151</v>
      </c>
      <c r="C21" t="s">
        <v>1331</v>
      </c>
      <c r="D21" t="s">
        <v>1332</v>
      </c>
      <c r="E21">
        <v>1</v>
      </c>
      <c r="F21" t="s">
        <v>1330</v>
      </c>
      <c r="G21" t="s">
        <v>1322</v>
      </c>
      <c r="H21" t="s">
        <v>1281</v>
      </c>
      <c r="N21" t="b">
        <v>0</v>
      </c>
      <c r="T21">
        <v>0</v>
      </c>
    </row>
    <row r="22" spans="1:20" x14ac:dyDescent="0.4">
      <c r="A22">
        <v>21</v>
      </c>
      <c r="B22" t="s">
        <v>151</v>
      </c>
      <c r="C22" t="s">
        <v>1333</v>
      </c>
      <c r="D22" t="s">
        <v>1334</v>
      </c>
      <c r="E22">
        <v>1</v>
      </c>
      <c r="F22" t="s">
        <v>1330</v>
      </c>
      <c r="G22" t="s">
        <v>1313</v>
      </c>
      <c r="H22" t="s">
        <v>1288</v>
      </c>
      <c r="N22" t="b">
        <v>0</v>
      </c>
      <c r="T22">
        <v>0</v>
      </c>
    </row>
    <row r="23" spans="1:20" x14ac:dyDescent="0.4">
      <c r="A23">
        <v>22</v>
      </c>
      <c r="B23" t="s">
        <v>151</v>
      </c>
      <c r="C23" t="s">
        <v>1335</v>
      </c>
      <c r="D23" t="s">
        <v>1336</v>
      </c>
      <c r="E23">
        <v>1</v>
      </c>
      <c r="F23" t="s">
        <v>1330</v>
      </c>
      <c r="G23" t="s">
        <v>1327</v>
      </c>
      <c r="H23" t="s">
        <v>1281</v>
      </c>
      <c r="N23" t="b">
        <v>0</v>
      </c>
      <c r="T23">
        <v>0</v>
      </c>
    </row>
    <row r="24" spans="1:20" x14ac:dyDescent="0.4">
      <c r="A24">
        <v>23</v>
      </c>
      <c r="B24" t="s">
        <v>151</v>
      </c>
      <c r="C24" t="s">
        <v>1337</v>
      </c>
      <c r="D24" t="s">
        <v>1338</v>
      </c>
      <c r="E24">
        <v>1</v>
      </c>
      <c r="F24" t="s">
        <v>1339</v>
      </c>
      <c r="G24" t="s">
        <v>1319</v>
      </c>
      <c r="H24" t="s">
        <v>1288</v>
      </c>
      <c r="N24" t="b">
        <v>0</v>
      </c>
      <c r="T24">
        <v>0</v>
      </c>
    </row>
    <row r="25" spans="1:20" x14ac:dyDescent="0.4">
      <c r="A25">
        <v>24</v>
      </c>
      <c r="B25" t="s">
        <v>151</v>
      </c>
      <c r="C25" t="s">
        <v>1340</v>
      </c>
      <c r="D25" t="s">
        <v>1341</v>
      </c>
      <c r="E25">
        <v>1</v>
      </c>
      <c r="F25" t="s">
        <v>1339</v>
      </c>
      <c r="G25" t="s">
        <v>1322</v>
      </c>
      <c r="H25" t="s">
        <v>1281</v>
      </c>
      <c r="N25" t="b">
        <v>0</v>
      </c>
      <c r="T25">
        <v>0</v>
      </c>
    </row>
    <row r="26" spans="1:20" x14ac:dyDescent="0.4">
      <c r="A26">
        <v>25</v>
      </c>
      <c r="B26" t="s">
        <v>151</v>
      </c>
      <c r="C26" t="s">
        <v>1342</v>
      </c>
      <c r="D26" t="s">
        <v>1343</v>
      </c>
      <c r="E26">
        <v>1</v>
      </c>
      <c r="F26" t="s">
        <v>1339</v>
      </c>
      <c r="G26" t="s">
        <v>1313</v>
      </c>
      <c r="H26" t="s">
        <v>1288</v>
      </c>
      <c r="N26" t="b">
        <v>0</v>
      </c>
      <c r="T26">
        <v>0</v>
      </c>
    </row>
    <row r="27" spans="1:20" x14ac:dyDescent="0.4">
      <c r="A27">
        <v>26</v>
      </c>
      <c r="B27" t="s">
        <v>151</v>
      </c>
      <c r="C27" t="s">
        <v>1335</v>
      </c>
      <c r="D27" t="s">
        <v>1344</v>
      </c>
      <c r="E27">
        <v>1</v>
      </c>
      <c r="F27" t="s">
        <v>1339</v>
      </c>
      <c r="G27" t="s">
        <v>1327</v>
      </c>
      <c r="H27" t="s">
        <v>1281</v>
      </c>
      <c r="N27" t="b">
        <v>0</v>
      </c>
      <c r="T27">
        <v>0</v>
      </c>
    </row>
    <row r="28" spans="1:20" x14ac:dyDescent="0.4">
      <c r="A28">
        <v>27</v>
      </c>
      <c r="B28" t="s">
        <v>151</v>
      </c>
      <c r="C28" t="s">
        <v>1345</v>
      </c>
      <c r="D28" t="s">
        <v>1346</v>
      </c>
      <c r="E28">
        <v>1</v>
      </c>
      <c r="F28" t="s">
        <v>1347</v>
      </c>
      <c r="G28" t="s">
        <v>1319</v>
      </c>
      <c r="H28" t="s">
        <v>1288</v>
      </c>
      <c r="N28" t="b">
        <v>0</v>
      </c>
      <c r="T28">
        <v>0</v>
      </c>
    </row>
    <row r="29" spans="1:20" x14ac:dyDescent="0.4">
      <c r="A29">
        <v>28</v>
      </c>
      <c r="B29" t="s">
        <v>151</v>
      </c>
      <c r="C29" t="s">
        <v>1348</v>
      </c>
      <c r="D29" t="s">
        <v>1349</v>
      </c>
      <c r="E29">
        <v>1</v>
      </c>
      <c r="F29" t="s">
        <v>1347</v>
      </c>
      <c r="G29" t="s">
        <v>1322</v>
      </c>
      <c r="H29" t="s">
        <v>1281</v>
      </c>
      <c r="N29" t="b">
        <v>0</v>
      </c>
      <c r="T29">
        <v>0</v>
      </c>
    </row>
    <row r="30" spans="1:20" x14ac:dyDescent="0.4">
      <c r="A30">
        <v>29</v>
      </c>
      <c r="B30" t="s">
        <v>151</v>
      </c>
      <c r="C30" t="s">
        <v>1350</v>
      </c>
      <c r="D30" t="s">
        <v>1351</v>
      </c>
      <c r="E30">
        <v>1</v>
      </c>
      <c r="F30" t="s">
        <v>1347</v>
      </c>
      <c r="G30" t="s">
        <v>1313</v>
      </c>
      <c r="H30" t="s">
        <v>1288</v>
      </c>
      <c r="N30" t="b">
        <v>0</v>
      </c>
      <c r="T30">
        <v>0</v>
      </c>
    </row>
    <row r="31" spans="1:20" x14ac:dyDescent="0.4">
      <c r="A31">
        <v>30</v>
      </c>
      <c r="B31" t="s">
        <v>151</v>
      </c>
      <c r="C31" t="s">
        <v>1352</v>
      </c>
      <c r="D31" t="s">
        <v>1353</v>
      </c>
      <c r="E31">
        <v>1</v>
      </c>
      <c r="F31" t="s">
        <v>1347</v>
      </c>
      <c r="G31" t="s">
        <v>1327</v>
      </c>
      <c r="H31" t="s">
        <v>1281</v>
      </c>
      <c r="N31" t="b">
        <v>0</v>
      </c>
      <c r="T31">
        <v>0</v>
      </c>
    </row>
    <row r="32" spans="1:20" x14ac:dyDescent="0.4">
      <c r="A32">
        <v>31</v>
      </c>
      <c r="B32" t="s">
        <v>845</v>
      </c>
      <c r="C32" t="s">
        <v>1354</v>
      </c>
      <c r="D32" t="s">
        <v>1355</v>
      </c>
      <c r="E32">
        <v>1</v>
      </c>
      <c r="F32" t="s">
        <v>1356</v>
      </c>
      <c r="G32" t="s">
        <v>1357</v>
      </c>
      <c r="H32" t="s">
        <v>1281</v>
      </c>
      <c r="N32" t="b">
        <v>0</v>
      </c>
      <c r="T32">
        <v>0</v>
      </c>
    </row>
    <row r="33" spans="1:20" x14ac:dyDescent="0.4">
      <c r="A33">
        <v>32</v>
      </c>
      <c r="B33" t="s">
        <v>845</v>
      </c>
      <c r="C33" t="s">
        <v>1358</v>
      </c>
      <c r="D33" t="s">
        <v>1359</v>
      </c>
      <c r="E33">
        <v>1</v>
      </c>
      <c r="F33" t="s">
        <v>1360</v>
      </c>
      <c r="G33" t="s">
        <v>1357</v>
      </c>
      <c r="H33" t="s">
        <v>1281</v>
      </c>
      <c r="N33" t="b">
        <v>0</v>
      </c>
      <c r="T33">
        <v>0</v>
      </c>
    </row>
    <row r="34" spans="1:20" x14ac:dyDescent="0.4">
      <c r="A34">
        <v>33</v>
      </c>
      <c r="B34" t="s">
        <v>151</v>
      </c>
      <c r="C34" t="s">
        <v>1361</v>
      </c>
      <c r="D34" t="s">
        <v>1362</v>
      </c>
      <c r="E34">
        <v>1</v>
      </c>
      <c r="F34" t="s">
        <v>1363</v>
      </c>
      <c r="G34" t="s">
        <v>1364</v>
      </c>
      <c r="H34" t="s">
        <v>1281</v>
      </c>
      <c r="N34" t="b">
        <v>0</v>
      </c>
      <c r="T34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1"/>
  <sheetViews>
    <sheetView zoomScaleNormal="100" workbookViewId="0">
      <pane ySplit="1" topLeftCell="A9" activePane="bottomLeft" state="frozen"/>
      <selection pane="bottomLeft" activeCell="F31" sqref="F31"/>
    </sheetView>
  </sheetViews>
  <sheetFormatPr defaultColWidth="8.69140625" defaultRowHeight="14.6" x14ac:dyDescent="0.4"/>
  <cols>
    <col min="1" max="1" width="34" customWidth="1"/>
    <col min="2" max="2" width="42" customWidth="1"/>
    <col min="3" max="3" width="20" customWidth="1"/>
    <col min="4" max="4" width="18" customWidth="1"/>
    <col min="5" max="5" width="55" customWidth="1"/>
    <col min="6" max="6" width="14" customWidth="1"/>
    <col min="7" max="7" width="6" customWidth="1"/>
  </cols>
  <sheetData>
    <row r="1" spans="1:7" ht="24.9" customHeigh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pans="1:7" ht="24.9" customHeight="1" x14ac:dyDescent="0.4">
      <c r="B2" t="s">
        <v>7</v>
      </c>
      <c r="C2" t="s">
        <v>8</v>
      </c>
      <c r="D2" t="s">
        <v>9</v>
      </c>
      <c r="E2" t="s">
        <v>10</v>
      </c>
      <c r="F2" t="s">
        <v>11</v>
      </c>
      <c r="G2">
        <v>1</v>
      </c>
    </row>
    <row r="3" spans="1:7" ht="24.9" customHeight="1" x14ac:dyDescent="0.4">
      <c r="B3" t="s">
        <v>12</v>
      </c>
      <c r="C3" t="s">
        <v>8</v>
      </c>
      <c r="D3" t="s">
        <v>9</v>
      </c>
      <c r="E3" t="s">
        <v>13</v>
      </c>
      <c r="F3" t="s">
        <v>11</v>
      </c>
      <c r="G3">
        <v>1</v>
      </c>
    </row>
    <row r="4" spans="1:7" x14ac:dyDescent="0.4">
      <c r="B4" t="s">
        <v>14</v>
      </c>
      <c r="C4" t="s">
        <v>8</v>
      </c>
      <c r="D4" t="s">
        <v>9</v>
      </c>
      <c r="E4" t="s">
        <v>13</v>
      </c>
      <c r="F4" t="s">
        <v>11</v>
      </c>
      <c r="G4">
        <v>1</v>
      </c>
    </row>
    <row r="5" spans="1:7" x14ac:dyDescent="0.4">
      <c r="B5" t="s">
        <v>15</v>
      </c>
      <c r="C5" t="s">
        <v>8</v>
      </c>
      <c r="D5" t="s">
        <v>9</v>
      </c>
      <c r="E5" t="s">
        <v>13</v>
      </c>
      <c r="F5" t="s">
        <v>11</v>
      </c>
      <c r="G5">
        <v>1</v>
      </c>
    </row>
    <row r="6" spans="1:7" x14ac:dyDescent="0.4">
      <c r="B6" t="s">
        <v>16</v>
      </c>
      <c r="C6" t="s">
        <v>8</v>
      </c>
      <c r="D6" t="s">
        <v>9</v>
      </c>
      <c r="E6" t="s">
        <v>13</v>
      </c>
      <c r="F6" t="s">
        <v>17</v>
      </c>
      <c r="G6">
        <v>1</v>
      </c>
    </row>
    <row r="7" spans="1:7" x14ac:dyDescent="0.4">
      <c r="B7" t="s">
        <v>18</v>
      </c>
      <c r="C7" t="s">
        <v>8</v>
      </c>
      <c r="D7" t="s">
        <v>9</v>
      </c>
      <c r="E7" t="s">
        <v>19</v>
      </c>
      <c r="F7" t="s">
        <v>11</v>
      </c>
      <c r="G7">
        <v>1</v>
      </c>
    </row>
    <row r="8" spans="1:7" x14ac:dyDescent="0.4">
      <c r="B8" t="s">
        <v>20</v>
      </c>
      <c r="C8" t="s">
        <v>8</v>
      </c>
      <c r="D8" t="s">
        <v>9</v>
      </c>
      <c r="E8" t="s">
        <v>19</v>
      </c>
      <c r="F8" t="s">
        <v>11</v>
      </c>
      <c r="G8">
        <v>1</v>
      </c>
    </row>
    <row r="9" spans="1:7" x14ac:dyDescent="0.4">
      <c r="B9" t="s">
        <v>21</v>
      </c>
      <c r="C9" t="s">
        <v>8</v>
      </c>
      <c r="D9" t="s">
        <v>9</v>
      </c>
      <c r="E9" t="s">
        <v>19</v>
      </c>
      <c r="F9" t="s">
        <v>11</v>
      </c>
      <c r="G9">
        <v>1</v>
      </c>
    </row>
    <row r="10" spans="1:7" x14ac:dyDescent="0.4">
      <c r="B10" t="s">
        <v>22</v>
      </c>
      <c r="C10" t="s">
        <v>8</v>
      </c>
      <c r="D10" t="s">
        <v>9</v>
      </c>
      <c r="E10" t="s">
        <v>19</v>
      </c>
      <c r="F10" t="s">
        <v>11</v>
      </c>
      <c r="G10">
        <v>1</v>
      </c>
    </row>
    <row r="11" spans="1:7" x14ac:dyDescent="0.4">
      <c r="B11" t="s">
        <v>23</v>
      </c>
      <c r="C11" t="s">
        <v>8</v>
      </c>
      <c r="D11" t="s">
        <v>9</v>
      </c>
      <c r="F11" t="s">
        <v>11</v>
      </c>
      <c r="G11">
        <v>1</v>
      </c>
    </row>
    <row r="12" spans="1:7" x14ac:dyDescent="0.4">
      <c r="B12" t="s">
        <v>24</v>
      </c>
      <c r="C12" t="s">
        <v>8</v>
      </c>
      <c r="D12" t="s">
        <v>9</v>
      </c>
      <c r="F12" t="s">
        <v>11</v>
      </c>
      <c r="G12">
        <v>1</v>
      </c>
    </row>
    <row r="13" spans="1:7" x14ac:dyDescent="0.4">
      <c r="B13" t="s">
        <v>25</v>
      </c>
      <c r="C13" t="s">
        <v>8</v>
      </c>
      <c r="D13" t="s">
        <v>9</v>
      </c>
      <c r="F13" t="s">
        <v>17</v>
      </c>
      <c r="G13">
        <v>1</v>
      </c>
    </row>
    <row r="14" spans="1:7" x14ac:dyDescent="0.4">
      <c r="B14" t="s">
        <v>26</v>
      </c>
      <c r="C14" t="s">
        <v>8</v>
      </c>
      <c r="D14" t="s">
        <v>9</v>
      </c>
      <c r="F14" t="s">
        <v>11</v>
      </c>
      <c r="G14">
        <v>1</v>
      </c>
    </row>
    <row r="15" spans="1:7" x14ac:dyDescent="0.4">
      <c r="B15" t="s">
        <v>27</v>
      </c>
      <c r="C15" t="s">
        <v>8</v>
      </c>
      <c r="D15" t="s">
        <v>9</v>
      </c>
      <c r="F15" t="s">
        <v>28</v>
      </c>
      <c r="G15">
        <v>1</v>
      </c>
    </row>
    <row r="16" spans="1:7" x14ac:dyDescent="0.4">
      <c r="B16" t="s">
        <v>29</v>
      </c>
      <c r="C16" t="s">
        <v>8</v>
      </c>
      <c r="D16" t="s">
        <v>9</v>
      </c>
      <c r="E16" t="s">
        <v>30</v>
      </c>
      <c r="F16" t="s">
        <v>11</v>
      </c>
      <c r="G16">
        <v>1</v>
      </c>
    </row>
    <row r="17" spans="2:7" x14ac:dyDescent="0.4">
      <c r="B17" t="s">
        <v>31</v>
      </c>
      <c r="C17" t="s">
        <v>8</v>
      </c>
      <c r="D17" t="s">
        <v>32</v>
      </c>
      <c r="E17" t="s">
        <v>33</v>
      </c>
      <c r="F17" t="s">
        <v>34</v>
      </c>
      <c r="G17">
        <v>1</v>
      </c>
    </row>
    <row r="18" spans="2:7" x14ac:dyDescent="0.4">
      <c r="B18" t="s">
        <v>35</v>
      </c>
      <c r="C18" t="s">
        <v>8</v>
      </c>
      <c r="D18" t="s">
        <v>9</v>
      </c>
      <c r="E18" t="s">
        <v>33</v>
      </c>
      <c r="F18" t="s">
        <v>28</v>
      </c>
      <c r="G18">
        <v>1</v>
      </c>
    </row>
    <row r="19" spans="2:7" x14ac:dyDescent="0.4">
      <c r="B19" t="s">
        <v>36</v>
      </c>
      <c r="C19" t="s">
        <v>8</v>
      </c>
      <c r="D19" t="s">
        <v>9</v>
      </c>
      <c r="F19" t="s">
        <v>11</v>
      </c>
      <c r="G19">
        <v>1</v>
      </c>
    </row>
    <row r="20" spans="2:7" x14ac:dyDescent="0.4">
      <c r="B20" t="s">
        <v>37</v>
      </c>
      <c r="C20" t="s">
        <v>8</v>
      </c>
      <c r="D20" t="s">
        <v>32</v>
      </c>
      <c r="E20" t="s">
        <v>38</v>
      </c>
      <c r="F20" t="s">
        <v>17</v>
      </c>
      <c r="G20">
        <v>1</v>
      </c>
    </row>
    <row r="21" spans="2:7" x14ac:dyDescent="0.4">
      <c r="B21" t="s">
        <v>39</v>
      </c>
      <c r="C21" t="s">
        <v>8</v>
      </c>
      <c r="D21" t="s">
        <v>32</v>
      </c>
      <c r="E21" t="s">
        <v>38</v>
      </c>
      <c r="F21" t="s">
        <v>17</v>
      </c>
      <c r="G21">
        <v>1</v>
      </c>
    </row>
    <row r="22" spans="2:7" x14ac:dyDescent="0.4">
      <c r="B22" t="s">
        <v>40</v>
      </c>
      <c r="C22" t="s">
        <v>8</v>
      </c>
      <c r="D22" t="s">
        <v>32</v>
      </c>
      <c r="E22" t="s">
        <v>33</v>
      </c>
      <c r="F22" t="s">
        <v>17</v>
      </c>
      <c r="G22">
        <v>1</v>
      </c>
    </row>
    <row r="23" spans="2:7" x14ac:dyDescent="0.4">
      <c r="B23" t="s">
        <v>41</v>
      </c>
      <c r="C23" t="s">
        <v>8</v>
      </c>
      <c r="D23" t="s">
        <v>32</v>
      </c>
      <c r="E23" t="s">
        <v>33</v>
      </c>
      <c r="F23" t="s">
        <v>17</v>
      </c>
      <c r="G23">
        <v>1</v>
      </c>
    </row>
    <row r="24" spans="2:7" x14ac:dyDescent="0.4">
      <c r="B24" t="s">
        <v>42</v>
      </c>
      <c r="C24" t="s">
        <v>8</v>
      </c>
      <c r="D24" t="s">
        <v>32</v>
      </c>
      <c r="E24" t="s">
        <v>43</v>
      </c>
      <c r="F24" t="s">
        <v>34</v>
      </c>
      <c r="G24">
        <v>1</v>
      </c>
    </row>
    <row r="25" spans="2:7" x14ac:dyDescent="0.4">
      <c r="B25" t="s">
        <v>44</v>
      </c>
      <c r="C25" t="s">
        <v>8</v>
      </c>
      <c r="D25" t="s">
        <v>32</v>
      </c>
      <c r="E25" t="s">
        <v>45</v>
      </c>
      <c r="F25" t="s">
        <v>46</v>
      </c>
      <c r="G25">
        <v>1</v>
      </c>
    </row>
    <row r="26" spans="2:7" x14ac:dyDescent="0.4">
      <c r="B26" t="s">
        <v>47</v>
      </c>
      <c r="C26" t="s">
        <v>8</v>
      </c>
      <c r="D26" t="s">
        <v>32</v>
      </c>
      <c r="E26" t="s">
        <v>48</v>
      </c>
      <c r="F26" t="s">
        <v>49</v>
      </c>
      <c r="G26">
        <v>1</v>
      </c>
    </row>
    <row r="27" spans="2:7" x14ac:dyDescent="0.4">
      <c r="B27" t="s">
        <v>50</v>
      </c>
      <c r="C27" t="s">
        <v>8</v>
      </c>
      <c r="D27" t="s">
        <v>32</v>
      </c>
      <c r="E27" t="s">
        <v>48</v>
      </c>
      <c r="F27" t="s">
        <v>49</v>
      </c>
      <c r="G27">
        <v>1</v>
      </c>
    </row>
    <row r="28" spans="2:7" x14ac:dyDescent="0.4">
      <c r="B28" t="s">
        <v>51</v>
      </c>
      <c r="C28" t="s">
        <v>8</v>
      </c>
      <c r="D28" t="s">
        <v>32</v>
      </c>
      <c r="E28" t="s">
        <v>48</v>
      </c>
      <c r="F28" t="s">
        <v>49</v>
      </c>
      <c r="G28">
        <v>1</v>
      </c>
    </row>
    <row r="29" spans="2:7" x14ac:dyDescent="0.4">
      <c r="B29" t="s">
        <v>52</v>
      </c>
      <c r="C29" t="s">
        <v>8</v>
      </c>
      <c r="D29" t="s">
        <v>32</v>
      </c>
      <c r="E29" t="s">
        <v>48</v>
      </c>
      <c r="F29" t="s">
        <v>49</v>
      </c>
      <c r="G29">
        <v>1</v>
      </c>
    </row>
    <row r="30" spans="2:7" x14ac:dyDescent="0.4">
      <c r="B30" t="s">
        <v>35</v>
      </c>
      <c r="C30" t="s">
        <v>8</v>
      </c>
      <c r="D30" t="s">
        <v>32</v>
      </c>
      <c r="E30" t="s">
        <v>48</v>
      </c>
      <c r="F30" t="s">
        <v>53</v>
      </c>
      <c r="G30">
        <v>1</v>
      </c>
    </row>
    <row r="31" spans="2:7" x14ac:dyDescent="0.4">
      <c r="B31" t="s">
        <v>54</v>
      </c>
      <c r="C31" t="s">
        <v>55</v>
      </c>
      <c r="D31" t="s">
        <v>56</v>
      </c>
      <c r="E31" t="s">
        <v>48</v>
      </c>
      <c r="F31" t="s">
        <v>11</v>
      </c>
      <c r="G31">
        <v>1</v>
      </c>
    </row>
    <row r="32" spans="2:7" x14ac:dyDescent="0.4">
      <c r="B32" t="s">
        <v>57</v>
      </c>
      <c r="C32" t="s">
        <v>55</v>
      </c>
      <c r="D32" t="s">
        <v>58</v>
      </c>
      <c r="E32" t="s">
        <v>48</v>
      </c>
      <c r="F32" t="s">
        <v>49</v>
      </c>
      <c r="G32">
        <v>1</v>
      </c>
    </row>
    <row r="33" spans="1:7" x14ac:dyDescent="0.4">
      <c r="B33" t="s">
        <v>59</v>
      </c>
      <c r="C33" t="s">
        <v>55</v>
      </c>
      <c r="D33" t="s">
        <v>60</v>
      </c>
      <c r="E33" t="s">
        <v>48</v>
      </c>
      <c r="F33" t="s">
        <v>46</v>
      </c>
      <c r="G33">
        <v>1</v>
      </c>
    </row>
    <row r="34" spans="1:7" x14ac:dyDescent="0.4">
      <c r="B34" t="s">
        <v>61</v>
      </c>
      <c r="C34" t="s">
        <v>55</v>
      </c>
      <c r="D34" t="s">
        <v>60</v>
      </c>
      <c r="E34" t="s">
        <v>48</v>
      </c>
      <c r="F34" t="s">
        <v>46</v>
      </c>
      <c r="G34">
        <v>1</v>
      </c>
    </row>
    <row r="35" spans="1:7" x14ac:dyDescent="0.4">
      <c r="B35" t="s">
        <v>62</v>
      </c>
      <c r="C35" t="s">
        <v>55</v>
      </c>
      <c r="D35" t="s">
        <v>60</v>
      </c>
      <c r="E35" t="s">
        <v>48</v>
      </c>
      <c r="F35" t="s">
        <v>46</v>
      </c>
      <c r="G35">
        <v>1</v>
      </c>
    </row>
    <row r="36" spans="1:7" x14ac:dyDescent="0.4">
      <c r="B36" t="s">
        <v>63</v>
      </c>
      <c r="C36" t="s">
        <v>55</v>
      </c>
      <c r="D36" t="s">
        <v>60</v>
      </c>
      <c r="E36" t="s">
        <v>48</v>
      </c>
      <c r="F36" t="s">
        <v>53</v>
      </c>
      <c r="G36">
        <v>1</v>
      </c>
    </row>
    <row r="37" spans="1:7" x14ac:dyDescent="0.4">
      <c r="B37" t="s">
        <v>64</v>
      </c>
      <c r="C37" t="s">
        <v>55</v>
      </c>
      <c r="D37" t="s">
        <v>60</v>
      </c>
      <c r="E37" t="s">
        <v>48</v>
      </c>
      <c r="F37" t="s">
        <v>53</v>
      </c>
      <c r="G37">
        <v>1</v>
      </c>
    </row>
    <row r="38" spans="1:7" x14ac:dyDescent="0.4">
      <c r="B38" t="s">
        <v>65</v>
      </c>
      <c r="C38" t="s">
        <v>55</v>
      </c>
      <c r="D38" t="s">
        <v>66</v>
      </c>
      <c r="E38" t="s">
        <v>48</v>
      </c>
      <c r="F38" t="s">
        <v>46</v>
      </c>
      <c r="G38">
        <v>1</v>
      </c>
    </row>
    <row r="39" spans="1:7" x14ac:dyDescent="0.4">
      <c r="B39" t="s">
        <v>67</v>
      </c>
      <c r="C39" t="s">
        <v>55</v>
      </c>
      <c r="D39" t="s">
        <v>68</v>
      </c>
      <c r="E39" t="s">
        <v>48</v>
      </c>
      <c r="F39" t="s">
        <v>49</v>
      </c>
      <c r="G39">
        <v>1</v>
      </c>
    </row>
    <row r="40" spans="1:7" x14ac:dyDescent="0.4">
      <c r="B40" t="s">
        <v>69</v>
      </c>
      <c r="C40" t="s">
        <v>55</v>
      </c>
      <c r="D40" t="s">
        <v>68</v>
      </c>
      <c r="E40" t="s">
        <v>48</v>
      </c>
      <c r="F40" t="s">
        <v>53</v>
      </c>
      <c r="G40">
        <v>1</v>
      </c>
    </row>
    <row r="41" spans="1:7" x14ac:dyDescent="0.4">
      <c r="A41" t="s">
        <v>70</v>
      </c>
      <c r="B41" t="s">
        <v>71</v>
      </c>
      <c r="C41" t="s">
        <v>55</v>
      </c>
      <c r="F41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Dashboard_Summary</vt:lpstr>
      <vt:lpstr>README</vt:lpstr>
      <vt:lpstr>WorkOrder</vt:lpstr>
      <vt:lpstr>WorkOrder_Checklist</vt:lpstr>
      <vt:lpstr>ActuatorValve</vt:lpstr>
      <vt:lpstr>Instrument_PressureTX</vt:lpstr>
      <vt:lpstr>Instrument_TemperatureTX</vt:lpstr>
      <vt:lpstr>Instrument_PressureSwitch</vt:lpstr>
      <vt:lpstr>PIC_Scope_Master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M. Farhan Tandia</cp:lastModifiedBy>
  <cp:revision>0</cp:revision>
  <dcterms:created xsi:type="dcterms:W3CDTF">2026-08-29T01:20:21Z</dcterms:created>
  <dcterms:modified xsi:type="dcterms:W3CDTF">2026-08-29T08:31:36Z</dcterms:modified>
  <dc:language>en-US</dc:language>
</cp:coreProperties>
</file>